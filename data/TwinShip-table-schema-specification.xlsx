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eriknystad/Developer/Python/twinship-data-pipeline/data/"/>
    </mc:Choice>
  </mc:AlternateContent>
  <xr:revisionPtr revIDLastSave="0" documentId="13_ncr:1_{32B08F6A-B807-8548-B2B8-CD6E3ABE77FD}" xr6:coauthVersionLast="47" xr6:coauthVersionMax="47" xr10:uidLastSave="{00000000-0000-0000-0000-000000000000}"/>
  <bookViews>
    <workbookView xWindow="0" yWindow="500" windowWidth="68800" windowHeight="26520" xr2:uid="{0BACD2F8-7B2E-48A9-8B72-52AA9319C627}"/>
  </bookViews>
  <sheets>
    <sheet name="MAIN ENGINE System" sheetId="4" r:id="rId1"/>
    <sheet name="AUXILIARY GENSET System" sheetId="6" r:id="rId2"/>
    <sheet name="FUEL System" sheetId="8" r:id="rId3"/>
    <sheet name="GEARBOX System" sheetId="10" r:id="rId4"/>
    <sheet name="PMS System" sheetId="15" r:id="rId5"/>
    <sheet name="PROPELLER System" sheetId="12" r:id="rId6"/>
    <sheet name="VESSEL System" sheetId="11" r:id="rId7"/>
    <sheet name="OTHER Systems" sheetId="13" r:id="rId8"/>
    <sheet name="ALL INFO" sheetId="5" state="hidden" r:id="rId9"/>
    <sheet name="Engine Parameters" sheetId="1" state="hidden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G7" i="4"/>
  <c r="G6" i="4"/>
  <c r="G5" i="4"/>
  <c r="G4" i="4"/>
</calcChain>
</file>

<file path=xl/sharedStrings.xml><?xml version="1.0" encoding="utf-8"?>
<sst xmlns="http://schemas.openxmlformats.org/spreadsheetml/2006/main" count="682" uniqueCount="313">
  <si>
    <t>MAIN COMPONENT</t>
  </si>
  <si>
    <t>ENGINE RELATIONS</t>
  </si>
  <si>
    <t>TWINSHIP-MAIN-ENGINE-ID</t>
  </si>
  <si>
    <t>TWINSHIP-MAIN-ENGINE-NAME</t>
  </si>
  <si>
    <t>TWINSHIP-MAIN-ENGINE-TYPE</t>
  </si>
  <si>
    <t>TWINSHIP-SHAFT-TORQUE-MAX-IN-kNm</t>
  </si>
  <si>
    <t>TWINSHIP-SHAFT-SPEED-MAX-IN-REV-PER_MIN</t>
  </si>
  <si>
    <t>TWINSHIP-SHAFT-POWER-MAX-IN-kW</t>
  </si>
  <si>
    <t>TWINSHIP-FLOWRATE-MAX-IN-KG_PER_HR</t>
  </si>
  <si>
    <t>TWINSHIP-FUEL-FLOW-TEMPERATURE-MAX-IN-°C</t>
  </si>
  <si>
    <t>TWINSHIP-INLET-AIR-PRESSURE-MAX-IN-hPa</t>
  </si>
  <si>
    <t>TWINSHIP-INLET-AIR-TEMPERATURE-MAX-IN-°C</t>
  </si>
  <si>
    <t>TWINSHIP-ME-COOLING-WATER-TEMPERATURE-MAX-IN-°C</t>
  </si>
  <si>
    <t>TWINSHIP-LT-COOLING-SEAWATER-1-TEMPERATURE-MAX-IN-°C</t>
  </si>
  <si>
    <t>TWINSHIP-LT-COOLING-SEAWATER-2-TEMPERATURE-MAX-IN-°C</t>
  </si>
  <si>
    <t>TWINSHIP-SCAVENGER-AIR-REC-TEMPERATURE-MAX-IN-°C</t>
  </si>
  <si>
    <t>TWINSHIP-COMMON-DO-MODE</t>
  </si>
  <si>
    <t>TWINSHIP-COMMOM-FUEL-MODE</t>
  </si>
  <si>
    <t>TWINSHIP-FUEL-CONSUMPTION-TOTAL-IN-MT</t>
  </si>
  <si>
    <t>TWINSHIP-POWER-PROPULSION-TOTAL-IN-kW</t>
  </si>
  <si>
    <t>TWINSHIP-ENGINE-ID</t>
  </si>
  <si>
    <t>TWINSHIP-GEARBOX-ID</t>
  </si>
  <si>
    <t>TWINSHIP-FUEL-ID</t>
  </si>
  <si>
    <t>TWINSHIP-COMONENT-ID</t>
  </si>
  <si>
    <t>TWINSHIP-VESSEL-ID</t>
  </si>
  <si>
    <t>IRI/ID</t>
  </si>
  <si>
    <t>STRING</t>
  </si>
  <si>
    <t>ID</t>
  </si>
  <si>
    <t>DOUBLE</t>
  </si>
  <si>
    <t>BINARY</t>
  </si>
  <si>
    <t>LIST OF IRIs/IDs</t>
  </si>
  <si>
    <t>GRI-ME-1</t>
  </si>
  <si>
    <t>GARIMALDI RORO MAIN ENGINE 1</t>
  </si>
  <si>
    <t>[tws:TwoStroke, tws: MechanicalConfiguration]</t>
  </si>
  <si>
    <t>DD-GRI-1</t>
  </si>
  <si>
    <t>[HFO, MGO, MDO]</t>
  </si>
  <si>
    <t>GRI-RR-1</t>
  </si>
  <si>
    <t>STL-ME-1</t>
  </si>
  <si>
    <t>STENALINE ROPAX MAIN ENGINE 1</t>
  </si>
  <si>
    <t>[tws:FourStroke, tws: MechanicalConfiguration]</t>
  </si>
  <si>
    <t>RG-STL-1</t>
  </si>
  <si>
    <t>SG-STL-1</t>
  </si>
  <si>
    <t>STL-RP-1</t>
  </si>
  <si>
    <t>STL-ME-2</t>
  </si>
  <si>
    <t>STENALINE ROPAX MAIN ENGINE 2</t>
  </si>
  <si>
    <t>STL-ME-3</t>
  </si>
  <si>
    <t>STENALINE ROPAX MAIN ENGINE 3</t>
  </si>
  <si>
    <t>RG-STL-2</t>
  </si>
  <si>
    <t>SG-STL-2</t>
  </si>
  <si>
    <t>STL-ME-4</t>
  </si>
  <si>
    <t>STENALINE ROPAX MAIN ENGINE 4</t>
  </si>
  <si>
    <t>STT-ME-1</t>
  </si>
  <si>
    <t>STENA TANKER CHEMICAL MAIN ENGINE 1</t>
  </si>
  <si>
    <t>[0,1]</t>
  </si>
  <si>
    <t>DD-STT-1</t>
  </si>
  <si>
    <t>CMP-BLR-STT-1</t>
  </si>
  <si>
    <t>STT-TK-1</t>
  </si>
  <si>
    <t>AUXILIARY ENGINE RELATIONS</t>
  </si>
  <si>
    <t>TWINSHIP-AUXILIARY-ENGINE-ID</t>
  </si>
  <si>
    <t>TWINSHIP-AUXILIARY-ENGINE-NAME</t>
  </si>
  <si>
    <t>TWINSHIP-AUXILIARY-ENGINE-TYPE</t>
  </si>
  <si>
    <t>TWINSHIP-DIESEL-ENGINE-POWER-MAX-IN-KW</t>
  </si>
  <si>
    <t>TWINSHIP-DIESEL-ENGINE-SPEED-IN-REV-PER-MIN</t>
  </si>
  <si>
    <t>TWINSHIP-GENERATOR-POWER-MAX-IN-KW</t>
  </si>
  <si>
    <t>TWINSHIP-GENERATOR-SPEED-IN-REV-PER-MIN</t>
  </si>
  <si>
    <t>TWINSHIP-AUXILIARY-DO-MODE</t>
  </si>
  <si>
    <t>TWINSHIP-AUXILIARY-FUEL-RATE-MASS-NET-KG-PER-HOUR</t>
  </si>
  <si>
    <t>TWINSHIP-AUXLIARY-ENGINE-ID</t>
  </si>
  <si>
    <t>TWINSHIP-PMS-ID</t>
  </si>
  <si>
    <t>GRI-AU-1</t>
  </si>
  <si>
    <t>GARIMALDI RORO AUXILIARY ENGINE 1</t>
  </si>
  <si>
    <t>[tws: FourStroke, tws:DieselEngine]</t>
  </si>
  <si>
    <t>PMS-GRI-1</t>
  </si>
  <si>
    <t>GRI-AU-2</t>
  </si>
  <si>
    <t>GARIMALDI RORO AUXILIARY ENGINE 2</t>
  </si>
  <si>
    <t>GRI-AU-3</t>
  </si>
  <si>
    <t>GARIMALDI RORO AUXILIARY ENGINE 3</t>
  </si>
  <si>
    <t>GRI-AU-4</t>
  </si>
  <si>
    <t>GARIMALDI RORO AUXILIARY ENGINE 4</t>
  </si>
  <si>
    <t>STL-AU-1</t>
  </si>
  <si>
    <t>STENALINE ROPAX AUXILIARY ENGINE 1</t>
  </si>
  <si>
    <t>PMS-STL-1</t>
  </si>
  <si>
    <t>STL-AU-2</t>
  </si>
  <si>
    <t>STENALINE ROPAX AUXILIARY ENGINE 2</t>
  </si>
  <si>
    <t>STL-AU-3</t>
  </si>
  <si>
    <t>STENALINE ROPAX AUXILIARY ENGINE 3</t>
  </si>
  <si>
    <t>STL-AU-4</t>
  </si>
  <si>
    <t>STENALINE ROPAX AUXILIARY ENGINE 4</t>
  </si>
  <si>
    <t>STT-AU-1</t>
  </si>
  <si>
    <t>STENA TANKER CHEMICAL AUXILIARY ENGINE 1</t>
  </si>
  <si>
    <t>[0, 1]</t>
  </si>
  <si>
    <t>PMS-STT-1</t>
  </si>
  <si>
    <t>STT-AU-2</t>
  </si>
  <si>
    <t>STENA TANKER CHEMICAL AUXILIARY ENGINE 2</t>
  </si>
  <si>
    <t>STT-AU-3</t>
  </si>
  <si>
    <t>STENA TANKER CHEMICAL AUXILIARY ENGINE 3</t>
  </si>
  <si>
    <t>STT-AU-4</t>
  </si>
  <si>
    <t>STENA TANKER CHEMICAL AUXILIARY ENGINE 4</t>
  </si>
  <si>
    <t>FUEL RELATIONS</t>
  </si>
  <si>
    <t>TWINSHIP-FUEL-NAME</t>
  </si>
  <si>
    <t>TWINSHIP-FUEL-DENSITY-GRAV-15C-KG-PER-LITRE</t>
  </si>
  <si>
    <t>TWINSHIP-FUEL-LHV-kJ-PER-KG</t>
  </si>
  <si>
    <t>TWINSHIP-FUEL-SULPHUR-PERCENTAGE</t>
  </si>
  <si>
    <t>TWINSHIP-FUEL-EMISSION-FACTOR-CO2-IN-G/KG-FUEL</t>
  </si>
  <si>
    <t>TWINSHIP-FUEL-EMISSION-FACTOR-N2O-IN-G/KG-FUEL</t>
  </si>
  <si>
    <t>TWINSHIP-FUEL-EMISSION-FACTOR-CH4-IN-G/KG-FUEL</t>
  </si>
  <si>
    <t>HFO</t>
  </si>
  <si>
    <t>HEAVY FUEL OIL</t>
  </si>
  <si>
    <t>[GRI-ME-1, STL-ME-1, STL-ME-2, STL-ME-3, STL-ME-4, STT-ME-1]</t>
  </si>
  <si>
    <t>[GRI-AU-1, GRI-AU-2, GRI-AU-3, GRI-AU-4, STL-AU-1, STL-AU-2, STL-AU-3, STL-AU-4, STT-AU-1, STT-AU-2, STT-AU-3, STT-AU-4]</t>
  </si>
  <si>
    <t>[GRI-RR-1, STL-RP-1, STT-TK-1]</t>
  </si>
  <si>
    <t>MGO</t>
  </si>
  <si>
    <t>MARINE GAS OIL</t>
  </si>
  <si>
    <t>[EG-GRI-1, EG-STL-1, EG-STT-1, BLR-STT-1, BLR-STT-2, CMP-BLR-STT-1]</t>
  </si>
  <si>
    <t>MDO</t>
  </si>
  <si>
    <t>MARINE DIESEL OIL</t>
  </si>
  <si>
    <t>GEARBOX RELATIONS</t>
  </si>
  <si>
    <t>TWINSHIP-GEARBOX-NAME</t>
  </si>
  <si>
    <t>TWINSHIP-GEARBOX-TYPE</t>
  </si>
  <si>
    <t>TWINSHIP-GEARBOX-EFFICIENCY</t>
  </si>
  <si>
    <t>TWINSHIP-GEARBOX-RATIO</t>
  </si>
  <si>
    <t>TWINSHIP-GEARBOX-SHAFT-GENERATOR</t>
  </si>
  <si>
    <t>TWINSHIP-PROPELLER-ID</t>
  </si>
  <si>
    <t>GRIMALDO RORO MAIN ENGINE DIRECT DRIVE</t>
  </si>
  <si>
    <t>[tws:DirectDrive]</t>
  </si>
  <si>
    <t>1:1 (No Gear)</t>
  </si>
  <si>
    <t>NO</t>
  </si>
  <si>
    <t>CPP-GRI-1</t>
  </si>
  <si>
    <t>STENALINE ROPAX MAIN ENGINES REDUCTION GEARBOX</t>
  </si>
  <si>
    <t>[tws: TISO, tws: Reduction, tws: SingleSpeed, tws:PTO]</t>
  </si>
  <si>
    <t>3.57-6:1 (Approx)</t>
  </si>
  <si>
    <t>YES</t>
  </si>
  <si>
    <t>[STL-ME-1, STL-ME-2]</t>
  </si>
  <si>
    <t>CPP-STL-1</t>
  </si>
  <si>
    <t>[STL-ME-3, STL-ME-4]</t>
  </si>
  <si>
    <t>CPP-STL-2</t>
  </si>
  <si>
    <t>STENA TANKER MAIN ENGINE DRIECT DRIVE</t>
  </si>
  <si>
    <t>FPP-STT-1</t>
  </si>
  <si>
    <t>PMS RELATIONS</t>
  </si>
  <si>
    <t>TWINSHIP-PMS-NAME</t>
  </si>
  <si>
    <t>TWINSHIP-PMS-TYPE</t>
  </si>
  <si>
    <t>POWER MANAGEMENT SYSTEM GRIMALDI EUROCARGO GENOVA RORO CARGO SHIP</t>
  </si>
  <si>
    <t>[tws:Pms]</t>
  </si>
  <si>
    <t>[GRI-AU-1, GRI-AU-2, GRI-AU-3, GRI-AU-4]</t>
  </si>
  <si>
    <t>[EG-GRI-1, TH-GRI-1, TH-GRI-2, TH-GRI-3]</t>
  </si>
  <si>
    <t>POWER MANAGEMENT SYSTEM STENA SCANDINAVICA PASSENGER AND RORO CARGO SHIP</t>
  </si>
  <si>
    <t>[STL-AU-1, STL-AU-2, STL-AU-3, STL-AU-4]</t>
  </si>
  <si>
    <t>[EG-STL-1, SG-STL-1, SG-STL-2]</t>
  </si>
  <si>
    <t>POWER MANAGEMENT SYSTEM STENA IMAGINATION CHEMICAL TANKER</t>
  </si>
  <si>
    <t>[STT-AU-1, STT-AU-2, STT-AU-3, STT-AU-4]</t>
  </si>
  <si>
    <t>[EG-STT-1, BLR-STT-1, BLR-STT-2, CMP-BLR-STT-1]</t>
  </si>
  <si>
    <t>TWINSHIP-PROPEELER-NAME</t>
  </si>
  <si>
    <t>TWINSHIP-PROPELLER-TYPE</t>
  </si>
  <si>
    <t>TWINSHIP-PROPELLER-EFFICIENCY</t>
  </si>
  <si>
    <t>TWINSHIP-PROPELLER-PITCH-MAX-IN-PERCENTAGE</t>
  </si>
  <si>
    <t>TWINSHIP-PROPELLER-DIAMETER-MM</t>
  </si>
  <si>
    <t>TWINSHIP-PROPELLER-BLADES</t>
  </si>
  <si>
    <t>TWINSHIP-PROPELLER-PITCH-DIAMETER -RATIO</t>
  </si>
  <si>
    <t>TWINSHIP-PROPELLER-SKEW-ANGLE-DEGREE</t>
  </si>
  <si>
    <t>TWINSHIP-PROPELLER-EXPANDED-AREA-RATIO-PERCENTAGE</t>
  </si>
  <si>
    <t>TWINSHIP-PROPELLER-HUB-RATIO</t>
  </si>
  <si>
    <t>TWINSHIP-RUDDER-ANGLE-DEGREE</t>
  </si>
  <si>
    <t>GRIMALDI RORO VARIABLE PITCH PROPELLER</t>
  </si>
  <si>
    <t>[tws:CPP]</t>
  </si>
  <si>
    <t>STENALINE ROPAX VARIABLE PITCH PROPELLER</t>
  </si>
  <si>
    <t>STENA TANKER FIXED PITCH PROPELLER</t>
  </si>
  <si>
    <t>[tws:FPP]</t>
  </si>
  <si>
    <t>TWINSHIP-VESSEL-NAME</t>
  </si>
  <si>
    <t>TWINSHIP-VESSEL-TYPE</t>
  </si>
  <si>
    <t>TWINSHIP-DISPLACEMENT-MAX-IN-MT</t>
  </si>
  <si>
    <t>TWINSHIP-VESSEL-DRAFT-AFT-MAX-IN-M</t>
  </si>
  <si>
    <t>TWINSHIP-VESSEL-DRAFT-FOR-MAX-IN-M</t>
  </si>
  <si>
    <t>TWINSHIP-VESSEL-DRAFT-MID-PORT-MAX-IN-M</t>
  </si>
  <si>
    <t>TWINSHIP-VESSEL-DRAFT-MID-STBD-MAX-IN-M</t>
  </si>
  <si>
    <t>TWINSHIP-VESSEL-DEPTH-OF-WATER-MAX-IN-M</t>
  </si>
  <si>
    <t>GRIMALDI EUROCARGO GENOVA RORO CARGO SHIP</t>
  </si>
  <si>
    <t>[tws:RoRo]</t>
  </si>
  <si>
    <t>STENA SCANDINAVICA PASSENGER AND RORO CARGO SHIP</t>
  </si>
  <si>
    <t>[tws:RoPax]</t>
  </si>
  <si>
    <t>STENA IMAGINATION CHEMICAL TANKER</t>
  </si>
  <si>
    <t>[tws:Tanker]</t>
  </si>
  <si>
    <t>TWINSHIP-COMPONENT-ID</t>
  </si>
  <si>
    <t>TWINSHIP-COMPONENT-NAME</t>
  </si>
  <si>
    <t>TWINSHIP-COMPONENT-TYPE</t>
  </si>
  <si>
    <t>TWINSHIP-COMPONENT-POWER-MAX-IN-kW</t>
  </si>
  <si>
    <t>TWINSHIP-COMPONENT-SPEED-MAX-IN-REV-PER-MIN</t>
  </si>
  <si>
    <t>TWINSHIP-COMPONENT-EMERG-DO-MODE</t>
  </si>
  <si>
    <t>TWINSHIP-COMPONENT-EMERG-MASSIN-IN-KG-PER-HR</t>
  </si>
  <si>
    <t>TWINSHIP-COMPONENT-EMERG-MASSNET-IN-KG-PER-HR</t>
  </si>
  <si>
    <t>TWINSHIP-COMPONENT-EMERG-MASSRET-IN-KG-PER-HR</t>
  </si>
  <si>
    <t>TWINSHIP-COMPONENT-FUEL-VOL-LITRE-PER-HR</t>
  </si>
  <si>
    <t>TWINSHIP-COMPONENT-DO-TEMPERATUREIN-IN-DEGREE-C</t>
  </si>
  <si>
    <t>TWINSHIP-COMPONENT-DO-TEMPERATURERET-IN-DEGREE-C</t>
  </si>
  <si>
    <t>TWINSHIP-COMPONENT-DO-VOL-IN-IN-LITRE-PER-HR</t>
  </si>
  <si>
    <t>TWINSHIP-COMPONENT-DO-VOL-RET-IN-LITRE-PER-HR</t>
  </si>
  <si>
    <t>TWINSHIP-COMPONENT-BLR-FUEL-MODE</t>
  </si>
  <si>
    <t>TWINSHIP-COMPONENT-FUEL-TEMP-IN-DEGREE-C</t>
  </si>
  <si>
    <t>TWINSHIP-COMPONENT-MGO-MASS-IN-KG-PER-HR</t>
  </si>
  <si>
    <t>TWINSHIP-COMPONENT-MGO-IN-USE</t>
  </si>
  <si>
    <t>EG-GRI-1</t>
  </si>
  <si>
    <t>EMERGENCY DIESEL GENERATOR GRIMALDI RORO</t>
  </si>
  <si>
    <t>[tws:EmergencyEquipment, tws:DieselEngine]</t>
  </si>
  <si>
    <t>EG-STL-1</t>
  </si>
  <si>
    <t>EMERGENCY DIESEL GENERATOR STENA LINE ROPAX</t>
  </si>
  <si>
    <t>EG-STT-1</t>
  </si>
  <si>
    <t>EMERGENCY DIESEL GENERATOR STENA TANKER</t>
  </si>
  <si>
    <t>TH-GRI-1</t>
  </si>
  <si>
    <t>BOW THRUSTER GRIMALDI RORO</t>
  </si>
  <si>
    <t>[tws:Maneuvering]</t>
  </si>
  <si>
    <t>TH-GRI-2</t>
  </si>
  <si>
    <t>TH-GRI-3</t>
  </si>
  <si>
    <t>STERN THRUSTER GRIMALDI RORO</t>
  </si>
  <si>
    <t>SHAFT GENERATOR STENA LINE</t>
  </si>
  <si>
    <t>[tws:RGShaftGenerator, tws:PTO]</t>
  </si>
  <si>
    <t>BLR-STT-1</t>
  </si>
  <si>
    <t>BOILER STENA TANKER</t>
  </si>
  <si>
    <t>[tws:Boiler]</t>
  </si>
  <si>
    <t>BLR-STT-2</t>
  </si>
  <si>
    <t>COMPOSITE EXHAUST GAS BOILER STENA TANKER</t>
  </si>
  <si>
    <t>ENGINE PARAMETERS</t>
  </si>
  <si>
    <t>TWINSHIP-ENGINE-NAME</t>
  </si>
  <si>
    <t>TWINSHIP-SHAFT-POWER-IN-KW</t>
  </si>
  <si>
    <t>TWINSHIP-SHAFT-TORQUE-IN-KNM</t>
  </si>
  <si>
    <t>TWINSHIP-SHAFT-SPEED-IN-REV_PER_MIN</t>
  </si>
  <si>
    <t>TWINSHIP-FUEL-DENSITY-IN-KG_PER_M3</t>
  </si>
  <si>
    <t>TWINSHIP-GENERATOR-POWER-IN-KW</t>
  </si>
  <si>
    <t>TWINSHIP-FUEL-CONSUMPTION-RATE-IN-KG_PER_HR</t>
  </si>
  <si>
    <t>TWINSHIP-FUEL-FLOW-TEMPERATURE-IN-°C</t>
  </si>
  <si>
    <t>TWINSHIP-AIR-PRESSURE-IN-hPa</t>
  </si>
  <si>
    <t>TWINSHIP-TOTAL-FUEL-CONSUMPTION-IN-MT</t>
  </si>
  <si>
    <t>TWINSHIP-INLET-AIR-TEMPERATURE-IN-°C</t>
  </si>
  <si>
    <t>TWINSHIP-COOLING-WATER-TEMPERATURE-IN-°C</t>
  </si>
  <si>
    <t>TWINSHIP-SCAVENGER-AIR-REC-TEMPERATURE-IN-°C</t>
  </si>
  <si>
    <t>TWINSHIP-TOTAL-PROPULSION-POWER-IN-KW</t>
  </si>
  <si>
    <t>TWINSHIP-FUEL-MASS-GROSS-IN-KG_PER_HR</t>
  </si>
  <si>
    <t>TWINSHIP-EMERG-DO-MODE</t>
  </si>
  <si>
    <t>… more …</t>
  </si>
  <si>
    <t>TWINSHIP-ENGINE-TYPE</t>
  </si>
  <si>
    <t>TWINSHIP-ENGINE-SHAFTS</t>
  </si>
  <si>
    <t>TWINSHIP-AUXILIARY-ENGINES</t>
  </si>
  <si>
    <t>Stena ROPAX</t>
  </si>
  <si>
    <t>1.	Propulsion 1 power (kW)
2.	Propulsion 2 power (kW)</t>
  </si>
  <si>
    <t>1.	Propulsion 1 torque (Nm)
2.	Propulsion 2 torque (Nm)</t>
  </si>
  <si>
    <t>1.	Propulsion 1 RPM
2.	Propulsion 2 RPM</t>
  </si>
  <si>
    <t>PropulsionPowerTotal Kilowatts (kW)</t>
  </si>
  <si>
    <t>Stena Chemical Tanker</t>
  </si>
  <si>
    <t>ME Shaft Power (kW)</t>
  </si>
  <si>
    <t xml:space="preserve">ME Shaft Torque (kNm) </t>
  </si>
  <si>
    <t xml:space="preserve">ME Shaft Speed (Rev/Min) </t>
  </si>
  <si>
    <t xml:space="preserve">1.	GE #1 El. Output (kW)
2.	GE #2 El. Output (kW) 
3.	GE #3 El. Output (kW).
4.	GE #4 El. Output (kW) </t>
  </si>
  <si>
    <t xml:space="preserve">ME Fuel Mass Net (Kg/Hr) </t>
  </si>
  <si>
    <t xml:space="preserve">ME Air Pressure (hPa) </t>
  </si>
  <si>
    <t xml:space="preserve">ME Inlet Air Temp (°C) </t>
  </si>
  <si>
    <t xml:space="preserve">ME Cooling Wtr Temp (°C) </t>
  </si>
  <si>
    <t xml:space="preserve">ME Scav Air Rec Temp (°C) </t>
  </si>
  <si>
    <t xml:space="preserve">ME Fuel Mass Gross (Kg/Hr) </t>
  </si>
  <si>
    <t xml:space="preserve">Common Fuel Mode () </t>
  </si>
  <si>
    <t>AE Emerg DO Mode ()</t>
  </si>
  <si>
    <t xml:space="preserve">Grimaldi RoRo </t>
  </si>
  <si>
    <t>SHAFT POWER (kW)</t>
  </si>
  <si>
    <t xml:space="preserve">SHAFT TORQUE (kNm) </t>
  </si>
  <si>
    <t xml:space="preserve">SHAFT SPEED [rpm] </t>
  </si>
  <si>
    <t xml:space="preserve">ME FLOWMETER DENSITY [kg/m³] </t>
  </si>
  <si>
    <t>1.	DG1_POWER (kW) 
2.	 DG2_POWER (kW) 
3.	DG3_POWER (kW)
4.	DG4_POWER [kW]</t>
  </si>
  <si>
    <t>ME FLOWMETER FLOW RATE [mt/h]</t>
  </si>
  <si>
    <t xml:space="preserve">FLOW TEMP [°C] </t>
  </si>
  <si>
    <t xml:space="preserve">ME FLOW TOTAL </t>
  </si>
  <si>
    <t>TWINSHIP-POWER-IN-KW</t>
  </si>
  <si>
    <t>TWINSHIP-TORQUE-IN-KNM</t>
  </si>
  <si>
    <t>TWINSHIP-SPEED-IN-REV_PER_MIN</t>
  </si>
  <si>
    <t>TWINSHIP-FUEL-CONSUMPTION-RATE-IN-MT_PER_HR</t>
  </si>
  <si>
    <t>TWINSHIP-COMMON-FUEL-MODE</t>
  </si>
  <si>
    <t>TWINSHIP-GEARBOX</t>
  </si>
  <si>
    <t>TWINSHIP-PROPELLER</t>
  </si>
  <si>
    <t>TWINSHIP-SHAFTGENERATOR</t>
  </si>
  <si>
    <t>TWINSHIP-PMS</t>
  </si>
  <si>
    <t>TWINSHIP-EMERGENCY GENERATOR</t>
  </si>
  <si>
    <t>TWINSHIP-COMPOSITE`_BOILER</t>
  </si>
  <si>
    <t>VESSEL_ID</t>
  </si>
  <si>
    <t>LIST OF IRIs/IDs (IMO)</t>
  </si>
  <si>
    <t>ME</t>
  </si>
  <si>
    <t>MAIN_ENGINE</t>
  </si>
  <si>
    <t>ME_SHFT_PWR</t>
  </si>
  <si>
    <t>ME_SHFT_TOR</t>
  </si>
  <si>
    <t>ME_SHFT_SPD</t>
  </si>
  <si>
    <t>ME_FUEL_DENSITY</t>
  </si>
  <si>
    <t>ME_FUEL_RATE</t>
  </si>
  <si>
    <t>ME_FUEL_CONSUMP</t>
  </si>
  <si>
    <t>ME_FUEL_TEMP</t>
  </si>
  <si>
    <t>ME_AIR_PRS</t>
  </si>
  <si>
    <t>ME_INLET_AIR_TEMP</t>
  </si>
  <si>
    <t>ME_CW_TEMP</t>
  </si>
  <si>
    <t>ME_SCAV_AIR_TEMP</t>
  </si>
  <si>
    <t>ME_DO_MODE</t>
  </si>
  <si>
    <t>ME_COMMON_FUEL_MODE</t>
  </si>
  <si>
    <t>REDUCTION_GEAR_RR</t>
  </si>
  <si>
    <t>FPP</t>
  </si>
  <si>
    <t>SG</t>
  </si>
  <si>
    <t>PMS_RR</t>
  </si>
  <si>
    <t>AG</t>
  </si>
  <si>
    <t>CB</t>
  </si>
  <si>
    <t>AUX</t>
  </si>
  <si>
    <t>AUXILIARY_ENGINE</t>
  </si>
  <si>
    <t>AUX_PWR</t>
  </si>
  <si>
    <t>AUX_FUEL_RATE</t>
  </si>
  <si>
    <t>AUX_FUEL_CONSUMP</t>
  </si>
  <si>
    <t>AUX_DO_MODE</t>
  </si>
  <si>
    <t>REDUCTION_GEAR_RP</t>
  </si>
  <si>
    <t>CPP</t>
  </si>
  <si>
    <t>PMS_RP</t>
  </si>
  <si>
    <t>9458951 </t>
  </si>
  <si>
    <t>PMS_TK</t>
  </si>
  <si>
    <t>9685463 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</si>
</sst>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_-* #,##0.000_-;\-* #,##0.000_-;_-* &quot;-&quot;??_-;_-@_-"/>
    <numFmt numFmtId="167" formatCode="#,##0_ ;\-#,##0\ 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Aptos"/>
      <family val="2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3" tint="0.499984740745262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9.9978637043366805E-2"/>
        <bgColor indexed="64"/>
      </patternFill>
    </fill>
    <fill>
      <patternFill patternType="solid">
        <fgColor theme="6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3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theme="0"/>
      </right>
      <top style="thin">
        <color theme="3"/>
      </top>
      <bottom style="thin">
        <color theme="3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 style="thin">
        <color theme="0"/>
      </left>
      <right/>
      <top/>
      <bottom style="thin">
        <color theme="3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0" fillId="3" borderId="2" xfId="0" applyFill="1" applyBorder="1" applyAlignment="1">
      <alignment horizontal="center"/>
    </xf>
    <xf numFmtId="0" fontId="4" fillId="2" borderId="0" xfId="0" applyFont="1" applyFill="1"/>
    <xf numFmtId="0" fontId="3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wrapText="1"/>
    </xf>
    <xf numFmtId="0" fontId="8" fillId="2" borderId="0" xfId="0" applyFont="1" applyFill="1"/>
    <xf numFmtId="0" fontId="7" fillId="2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8" fillId="0" borderId="0" xfId="0" applyFont="1"/>
    <xf numFmtId="0" fontId="7" fillId="4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/>
    </xf>
    <xf numFmtId="164" fontId="2" fillId="0" borderId="0" xfId="1" applyNumberFormat="1" applyFont="1"/>
    <xf numFmtId="164" fontId="11" fillId="0" borderId="0" xfId="1" applyNumberFormat="1" applyFont="1"/>
    <xf numFmtId="0" fontId="0" fillId="0" borderId="0" xfId="0" applyAlignment="1">
      <alignment wrapText="1"/>
    </xf>
    <xf numFmtId="0" fontId="12" fillId="0" borderId="0" xfId="0" applyFont="1"/>
    <xf numFmtId="0" fontId="11" fillId="0" borderId="0" xfId="0" applyFont="1"/>
    <xf numFmtId="0" fontId="13" fillId="0" borderId="0" xfId="0" applyFont="1"/>
    <xf numFmtId="164" fontId="14" fillId="0" borderId="0" xfId="1" applyNumberFormat="1" applyFont="1" applyAlignment="1">
      <alignment horizontal="right" vertical="center"/>
    </xf>
    <xf numFmtId="164" fontId="2" fillId="0" borderId="0" xfId="1" applyNumberFormat="1" applyFont="1" applyAlignment="1">
      <alignment horizontal="right"/>
    </xf>
    <xf numFmtId="164" fontId="11" fillId="0" borderId="0" xfId="1" applyNumberFormat="1" applyFont="1" applyFill="1"/>
    <xf numFmtId="164" fontId="2" fillId="0" borderId="0" xfId="1" applyNumberFormat="1" applyFont="1" applyFill="1"/>
    <xf numFmtId="164" fontId="2" fillId="0" borderId="7" xfId="1" applyNumberFormat="1" applyFont="1" applyBorder="1"/>
    <xf numFmtId="0" fontId="14" fillId="0" borderId="0" xfId="0" applyFont="1" applyAlignment="1">
      <alignment horizontal="right"/>
    </xf>
    <xf numFmtId="43" fontId="0" fillId="0" borderId="0" xfId="1" applyFont="1"/>
    <xf numFmtId="0" fontId="15" fillId="0" borderId="0" xfId="0" applyFont="1"/>
    <xf numFmtId="164" fontId="0" fillId="0" borderId="0" xfId="1" applyNumberFormat="1" applyFont="1"/>
    <xf numFmtId="0" fontId="0" fillId="0" borderId="0" xfId="0" applyAlignment="1">
      <alignment horizontal="right" vertical="center"/>
    </xf>
    <xf numFmtId="165" fontId="0" fillId="0" borderId="0" xfId="1" applyNumberFormat="1" applyFont="1"/>
    <xf numFmtId="164" fontId="0" fillId="0" borderId="0" xfId="1" applyNumberFormat="1" applyFont="1" applyAlignment="1">
      <alignment horizontal="right"/>
    </xf>
    <xf numFmtId="0" fontId="1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6" fillId="0" borderId="0" xfId="0" applyFont="1"/>
    <xf numFmtId="164" fontId="9" fillId="0" borderId="0" xfId="1" applyNumberFormat="1" applyFont="1"/>
    <xf numFmtId="166" fontId="9" fillId="0" borderId="0" xfId="1" applyNumberFormat="1" applyFont="1"/>
    <xf numFmtId="165" fontId="9" fillId="0" borderId="0" xfId="1" applyNumberFormat="1" applyFont="1"/>
    <xf numFmtId="43" fontId="9" fillId="0" borderId="0" xfId="1" applyFont="1"/>
    <xf numFmtId="0" fontId="3" fillId="2" borderId="4" xfId="0" applyFont="1" applyFill="1" applyBorder="1"/>
    <xf numFmtId="0" fontId="3" fillId="2" borderId="0" xfId="0" applyFont="1" applyFill="1"/>
    <xf numFmtId="167" fontId="11" fillId="0" borderId="0" xfId="1" applyNumberFormat="1" applyFont="1"/>
    <xf numFmtId="0" fontId="1" fillId="0" borderId="0" xfId="0" applyFont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1" applyNumberFormat="1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center"/>
    </xf>
    <xf numFmtId="165" fontId="0" fillId="0" borderId="0" xfId="1" applyNumberFormat="1" applyFont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7"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auto="1"/>
          <bgColor theme="3"/>
        </patternFill>
      </fill>
    </dxf>
    <dxf>
      <font>
        <color theme="1"/>
      </font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</dxfs>
  <tableStyles count="1" defaultTableStyle="Sintef" defaultPivotStyle="PivotStyleLight16">
    <tableStyle name="Sintef" pivot="0" count="7" xr9:uid="{2F7DDD9D-D07E-454C-B368-8079547A2C39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SINTEF">
      <a:dk1>
        <a:sysClr val="windowText" lastClr="000000"/>
      </a:dk1>
      <a:lt1>
        <a:sysClr val="window" lastClr="FFFFFF"/>
      </a:lt1>
      <a:dk2>
        <a:srgbClr val="003C65"/>
      </a:dk2>
      <a:lt2>
        <a:srgbClr val="EBEBE6"/>
      </a:lt2>
      <a:accent1>
        <a:srgbClr val="14B978"/>
      </a:accent1>
      <a:accent2>
        <a:srgbClr val="CDFAE1"/>
      </a:accent2>
      <a:accent3>
        <a:srgbClr val="004628"/>
      </a:accent3>
      <a:accent4>
        <a:srgbClr val="C89B14"/>
      </a:accent4>
      <a:accent5>
        <a:srgbClr val="BE3C37"/>
      </a:accent5>
      <a:accent6>
        <a:srgbClr val="78005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6799-E818-495E-ADC7-6D0DF41ECD62}">
  <sheetPr>
    <tabColor theme="2" tint="-9.9978637043366805E-2"/>
  </sheetPr>
  <dimension ref="A1:AC15"/>
  <sheetViews>
    <sheetView tabSelected="1" zoomScale="110" zoomScaleNormal="110" workbookViewId="0">
      <selection activeCell="F4" sqref="F4"/>
    </sheetView>
  </sheetViews>
  <sheetFormatPr baseColWidth="10" defaultColWidth="9.1640625" defaultRowHeight="16" x14ac:dyDescent="0.2"/>
  <cols>
    <col min="1" max="1" width="28" style="1" bestFit="1" customWidth="1"/>
    <col min="2" max="2" width="42" style="1" bestFit="1" customWidth="1"/>
    <col min="3" max="3" width="49.33203125" style="1" bestFit="1" customWidth="1"/>
    <col min="4" max="4" width="39.5" style="1" bestFit="1" customWidth="1"/>
    <col min="5" max="5" width="46.33203125" style="1" bestFit="1" customWidth="1"/>
    <col min="6" max="6" width="37.33203125" style="1" bestFit="1" customWidth="1"/>
    <col min="7" max="7" width="41.6640625" style="1" bestFit="1" customWidth="1"/>
    <col min="8" max="8" width="47.6640625" style="1" bestFit="1" customWidth="1"/>
    <col min="9" max="9" width="43.6640625" style="1" bestFit="1" customWidth="1"/>
    <col min="10" max="10" width="46.33203125" style="1" bestFit="1" customWidth="1"/>
    <col min="11" max="11" width="56.6640625" style="1" bestFit="1" customWidth="1"/>
    <col min="12" max="13" width="61.33203125" style="1" bestFit="1" customWidth="1"/>
    <col min="14" max="14" width="56.5" style="1" bestFit="1" customWidth="1"/>
    <col min="15" max="15" width="31" style="1" bestFit="1" customWidth="1"/>
    <col min="16" max="16" width="33.1640625" style="1" bestFit="1" customWidth="1"/>
    <col min="17" max="17" width="44.5" style="1" bestFit="1" customWidth="1"/>
    <col min="18" max="18" width="45" style="1" bestFit="1" customWidth="1"/>
    <col min="19" max="21" width="9.1640625" style="1"/>
    <col min="22" max="22" width="21.6640625" style="1" customWidth="1"/>
    <col min="23" max="23" width="28.5" style="1" customWidth="1"/>
    <col min="24" max="24" width="27.1640625" style="1" bestFit="1" customWidth="1"/>
    <col min="25" max="25" width="25.5" style="1" bestFit="1" customWidth="1"/>
    <col min="26" max="26" width="24.5" style="1" customWidth="1"/>
    <col min="27" max="16384" width="9.1640625" style="1"/>
  </cols>
  <sheetData>
    <row r="1" spans="1:29" x14ac:dyDescent="0.2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T1" s="9"/>
      <c r="U1" s="9"/>
      <c r="V1" s="52" t="s">
        <v>1</v>
      </c>
      <c r="W1" s="53"/>
      <c r="X1" s="53"/>
      <c r="Y1" s="53"/>
      <c r="Z1" s="53"/>
    </row>
    <row r="2" spans="1:29" x14ac:dyDescent="0.2">
      <c r="A2" s="2" t="s">
        <v>2</v>
      </c>
      <c r="B2" s="2" t="s">
        <v>3</v>
      </c>
      <c r="C2" s="2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V2" s="7" t="s">
        <v>20</v>
      </c>
      <c r="W2" s="7" t="s">
        <v>21</v>
      </c>
      <c r="X2" s="7" t="s">
        <v>22</v>
      </c>
      <c r="Y2" s="7" t="s">
        <v>23</v>
      </c>
      <c r="Z2" s="7" t="s">
        <v>24</v>
      </c>
      <c r="AA2" s="48"/>
      <c r="AB2" s="49"/>
      <c r="AC2" s="49"/>
    </row>
    <row r="3" spans="1:29" x14ac:dyDescent="0.2">
      <c r="A3" s="3" t="s">
        <v>25</v>
      </c>
      <c r="B3" s="3" t="s">
        <v>26</v>
      </c>
      <c r="C3" s="3" t="s">
        <v>27</v>
      </c>
      <c r="D3" s="3" t="s">
        <v>28</v>
      </c>
      <c r="E3" s="3" t="s">
        <v>28</v>
      </c>
      <c r="F3" s="3" t="s">
        <v>28</v>
      </c>
      <c r="G3" s="3" t="s">
        <v>28</v>
      </c>
      <c r="H3" s="3" t="s">
        <v>28</v>
      </c>
      <c r="I3" s="3" t="s">
        <v>28</v>
      </c>
      <c r="J3" s="3" t="s">
        <v>28</v>
      </c>
      <c r="K3" s="3" t="s">
        <v>28</v>
      </c>
      <c r="L3" s="3" t="s">
        <v>28</v>
      </c>
      <c r="M3" s="3" t="s">
        <v>28</v>
      </c>
      <c r="N3" s="3" t="s">
        <v>28</v>
      </c>
      <c r="O3" s="3" t="s">
        <v>29</v>
      </c>
      <c r="P3" s="3" t="s">
        <v>29</v>
      </c>
      <c r="Q3" s="3" t="s">
        <v>28</v>
      </c>
      <c r="R3" s="3" t="s">
        <v>28</v>
      </c>
      <c r="V3" s="8" t="s">
        <v>30</v>
      </c>
      <c r="W3" s="8" t="s">
        <v>30</v>
      </c>
      <c r="X3" s="8" t="s">
        <v>30</v>
      </c>
      <c r="Y3" s="8" t="s">
        <v>30</v>
      </c>
      <c r="Z3" s="8" t="s">
        <v>30</v>
      </c>
      <c r="AA3" s="8"/>
      <c r="AB3" s="8"/>
    </row>
    <row r="4" spans="1:29" x14ac:dyDescent="0.2">
      <c r="A4" s="1" t="s">
        <v>31</v>
      </c>
      <c r="B4" s="1" t="s">
        <v>32</v>
      </c>
      <c r="C4" s="1" t="s">
        <v>33</v>
      </c>
      <c r="D4" s="19">
        <v>1402.29</v>
      </c>
      <c r="E4" s="18">
        <v>123</v>
      </c>
      <c r="F4" s="18">
        <v>20070</v>
      </c>
      <c r="G4" s="19">
        <f>3.49417*1000</f>
        <v>3494.17</v>
      </c>
      <c r="H4" s="26">
        <v>91.237944100000007</v>
      </c>
      <c r="I4" s="46">
        <v>-1</v>
      </c>
      <c r="J4" s="46">
        <v>-1</v>
      </c>
      <c r="K4" s="46">
        <v>-1</v>
      </c>
      <c r="L4" s="46">
        <v>-1</v>
      </c>
      <c r="M4" s="46">
        <v>-1</v>
      </c>
      <c r="N4" s="46">
        <v>-1</v>
      </c>
      <c r="O4" s="46">
        <v>-1</v>
      </c>
      <c r="P4" s="46">
        <v>-1</v>
      </c>
      <c r="Q4" s="27">
        <v>12941.972208333013</v>
      </c>
      <c r="R4" s="46">
        <v>-1</v>
      </c>
      <c r="V4" s="1" t="s">
        <v>31</v>
      </c>
      <c r="W4" s="1" t="s">
        <v>34</v>
      </c>
      <c r="X4" s="1" t="s">
        <v>35</v>
      </c>
      <c r="Y4"/>
      <c r="Z4" s="33" t="s">
        <v>36</v>
      </c>
    </row>
    <row r="5" spans="1:29" x14ac:dyDescent="0.2">
      <c r="A5" s="1" t="s">
        <v>37</v>
      </c>
      <c r="B5" s="1" t="s">
        <v>38</v>
      </c>
      <c r="C5" s="1" t="s">
        <v>39</v>
      </c>
      <c r="D5" s="46">
        <v>-1</v>
      </c>
      <c r="E5" s="18">
        <v>550</v>
      </c>
      <c r="F5" s="18">
        <v>6480</v>
      </c>
      <c r="G5" s="19">
        <f>4744/4</f>
        <v>1186</v>
      </c>
      <c r="H5" s="46">
        <v>-1</v>
      </c>
      <c r="I5" s="27">
        <v>1000</v>
      </c>
      <c r="J5" s="27">
        <v>45</v>
      </c>
      <c r="K5" s="27">
        <v>32</v>
      </c>
      <c r="L5" s="46">
        <v>-1</v>
      </c>
      <c r="M5" s="46">
        <v>-1</v>
      </c>
      <c r="N5" s="46">
        <v>-1</v>
      </c>
      <c r="O5" s="46">
        <v>-1</v>
      </c>
      <c r="P5" s="46">
        <v>-1</v>
      </c>
      <c r="Q5" s="46">
        <v>-1</v>
      </c>
      <c r="R5" s="50">
        <v>20608</v>
      </c>
      <c r="V5" s="1" t="s">
        <v>37</v>
      </c>
      <c r="W5" s="1" t="s">
        <v>40</v>
      </c>
      <c r="X5" s="1" t="s">
        <v>35</v>
      </c>
      <c r="Y5" t="s">
        <v>41</v>
      </c>
      <c r="Z5" s="33" t="s">
        <v>42</v>
      </c>
    </row>
    <row r="6" spans="1:29" x14ac:dyDescent="0.2">
      <c r="A6" s="1" t="s">
        <v>43</v>
      </c>
      <c r="B6" s="1" t="s">
        <v>44</v>
      </c>
      <c r="C6" s="1" t="s">
        <v>39</v>
      </c>
      <c r="D6" s="46">
        <v>-1</v>
      </c>
      <c r="E6" s="18">
        <v>550</v>
      </c>
      <c r="F6" s="18">
        <v>6480</v>
      </c>
      <c r="G6" s="19">
        <f>4744/4</f>
        <v>1186</v>
      </c>
      <c r="H6" s="46">
        <v>-1</v>
      </c>
      <c r="I6" s="27">
        <v>1000</v>
      </c>
      <c r="J6" s="27">
        <v>45</v>
      </c>
      <c r="K6" s="27">
        <v>32</v>
      </c>
      <c r="L6" s="46">
        <v>-1</v>
      </c>
      <c r="M6" s="46">
        <v>-1</v>
      </c>
      <c r="N6" s="46">
        <v>-1</v>
      </c>
      <c r="O6" s="46">
        <v>-1</v>
      </c>
      <c r="P6" s="46">
        <v>-1</v>
      </c>
      <c r="Q6" s="46">
        <v>-1</v>
      </c>
      <c r="R6" s="50"/>
      <c r="V6" s="1" t="s">
        <v>43</v>
      </c>
      <c r="W6" s="1" t="s">
        <v>40</v>
      </c>
      <c r="X6" s="1" t="s">
        <v>35</v>
      </c>
      <c r="Y6" t="s">
        <v>41</v>
      </c>
      <c r="Z6" s="33" t="s">
        <v>42</v>
      </c>
    </row>
    <row r="7" spans="1:29" x14ac:dyDescent="0.2">
      <c r="A7" s="1" t="s">
        <v>45</v>
      </c>
      <c r="B7" s="1" t="s">
        <v>46</v>
      </c>
      <c r="C7" s="1" t="s">
        <v>39</v>
      </c>
      <c r="D7" s="46">
        <v>-1</v>
      </c>
      <c r="E7" s="18">
        <v>550</v>
      </c>
      <c r="F7" s="18">
        <v>6480</v>
      </c>
      <c r="G7" s="19">
        <f>4744/4</f>
        <v>1186</v>
      </c>
      <c r="H7" s="46">
        <v>-1</v>
      </c>
      <c r="I7" s="27">
        <v>1000</v>
      </c>
      <c r="J7" s="27">
        <v>45</v>
      </c>
      <c r="K7" s="27">
        <v>32</v>
      </c>
      <c r="L7" s="46">
        <v>-1</v>
      </c>
      <c r="M7" s="46">
        <v>-1</v>
      </c>
      <c r="N7" s="46">
        <v>-1</v>
      </c>
      <c r="O7" s="46">
        <v>-1</v>
      </c>
      <c r="P7" s="46">
        <v>-1</v>
      </c>
      <c r="Q7" s="46">
        <v>-1</v>
      </c>
      <c r="R7" s="50"/>
      <c r="V7" s="1" t="s">
        <v>45</v>
      </c>
      <c r="W7" s="1" t="s">
        <v>47</v>
      </c>
      <c r="X7" s="1" t="s">
        <v>35</v>
      </c>
      <c r="Y7" t="s">
        <v>48</v>
      </c>
      <c r="Z7" s="33" t="s">
        <v>42</v>
      </c>
    </row>
    <row r="8" spans="1:29" x14ac:dyDescent="0.2">
      <c r="A8" s="1" t="s">
        <v>49</v>
      </c>
      <c r="B8" s="1" t="s">
        <v>50</v>
      </c>
      <c r="C8" s="1" t="s">
        <v>39</v>
      </c>
      <c r="D8" s="46">
        <v>-1</v>
      </c>
      <c r="E8" s="18">
        <v>550</v>
      </c>
      <c r="F8" s="18">
        <v>6480</v>
      </c>
      <c r="G8" s="19">
        <f>4744/4</f>
        <v>1186</v>
      </c>
      <c r="H8" s="46">
        <v>-1</v>
      </c>
      <c r="I8" s="27">
        <v>1000</v>
      </c>
      <c r="J8" s="27">
        <v>45</v>
      </c>
      <c r="K8" s="27">
        <v>32</v>
      </c>
      <c r="L8" s="46">
        <v>-1</v>
      </c>
      <c r="M8" s="46">
        <v>-1</v>
      </c>
      <c r="N8" s="46">
        <v>-1</v>
      </c>
      <c r="O8" s="46">
        <v>-1</v>
      </c>
      <c r="P8" s="46">
        <v>-1</v>
      </c>
      <c r="Q8" s="46">
        <v>-1</v>
      </c>
      <c r="R8" s="50"/>
      <c r="V8" s="1" t="s">
        <v>49</v>
      </c>
      <c r="W8" s="1" t="s">
        <v>47</v>
      </c>
      <c r="X8" s="1" t="s">
        <v>35</v>
      </c>
      <c r="Y8" t="s">
        <v>48</v>
      </c>
      <c r="Z8" s="33" t="s">
        <v>42</v>
      </c>
    </row>
    <row r="9" spans="1:29" x14ac:dyDescent="0.2">
      <c r="A9" s="47" t="s">
        <v>51</v>
      </c>
      <c r="B9" s="1" t="s">
        <v>52</v>
      </c>
      <c r="C9" s="1" t="s">
        <v>33</v>
      </c>
      <c r="D9" s="19">
        <v>590</v>
      </c>
      <c r="E9" s="18">
        <v>117</v>
      </c>
      <c r="F9" s="18">
        <v>10680</v>
      </c>
      <c r="G9" s="19">
        <v>1050</v>
      </c>
      <c r="H9" s="46">
        <v>-1</v>
      </c>
      <c r="I9" s="27">
        <v>1025</v>
      </c>
      <c r="J9" s="27">
        <v>41.29</v>
      </c>
      <c r="K9" s="27">
        <v>41.6</v>
      </c>
      <c r="L9" s="27">
        <v>35.781999999999996</v>
      </c>
      <c r="M9" s="27">
        <v>32.49</v>
      </c>
      <c r="N9" s="27">
        <v>58.274000000000001</v>
      </c>
      <c r="O9" s="25" t="s">
        <v>53</v>
      </c>
      <c r="P9" s="25" t="s">
        <v>53</v>
      </c>
      <c r="Q9" s="46">
        <v>-1</v>
      </c>
      <c r="R9" s="46">
        <v>-1</v>
      </c>
      <c r="V9" s="1" t="s">
        <v>51</v>
      </c>
      <c r="W9" s="1" t="s">
        <v>54</v>
      </c>
      <c r="X9" s="1" t="s">
        <v>35</v>
      </c>
      <c r="Y9" t="s">
        <v>55</v>
      </c>
      <c r="Z9" s="33" t="s">
        <v>56</v>
      </c>
    </row>
    <row r="10" spans="1:29" x14ac:dyDescent="0.2">
      <c r="D10" s="24"/>
      <c r="E10" s="18"/>
      <c r="F10" s="24"/>
      <c r="G10" s="24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29" x14ac:dyDescent="0.2"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X11" s="36"/>
    </row>
    <row r="12" spans="1:29" x14ac:dyDescent="0.2"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1:29" x14ac:dyDescent="0.2">
      <c r="A13" s="31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29" x14ac:dyDescent="0.2">
      <c r="A14" s="21"/>
      <c r="Y14" s="37"/>
    </row>
    <row r="15" spans="1:29" x14ac:dyDescent="0.2">
      <c r="A15" s="22"/>
    </row>
  </sheetData>
  <mergeCells count="4">
    <mergeCell ref="AA2:AC2"/>
    <mergeCell ref="R5:R8"/>
    <mergeCell ref="A1:R1"/>
    <mergeCell ref="V1:Z1"/>
  </mergeCells>
  <phoneticPr fontId="1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EBD55-908A-4DC8-89EF-4C2A84C0280B}">
  <sheetPr>
    <tabColor theme="2" tint="-9.9978637043366805E-2"/>
  </sheetPr>
  <dimension ref="A1:Q45"/>
  <sheetViews>
    <sheetView topLeftCell="A2" zoomScale="90" zoomScaleNormal="90" workbookViewId="0">
      <selection activeCell="D4" sqref="D4"/>
    </sheetView>
  </sheetViews>
  <sheetFormatPr baseColWidth="10" defaultColWidth="9.1640625" defaultRowHeight="16" x14ac:dyDescent="0.2"/>
  <cols>
    <col min="1" max="1" width="32.6640625" style="1" bestFit="1" customWidth="1"/>
    <col min="2" max="2" width="46.5" style="1" bestFit="1" customWidth="1"/>
    <col min="3" max="3" width="36" style="1" bestFit="1" customWidth="1"/>
    <col min="4" max="4" width="45.83203125" style="1" bestFit="1" customWidth="1"/>
    <col min="5" max="5" width="49.33203125" style="1" bestFit="1" customWidth="1"/>
    <col min="6" max="6" width="42.83203125" style="1" bestFit="1" customWidth="1"/>
    <col min="7" max="7" width="46.5" style="1" bestFit="1" customWidth="1"/>
    <col min="8" max="8" width="31.6640625" style="1" bestFit="1" customWidth="1"/>
    <col min="9" max="9" width="57.1640625" style="1" bestFit="1" customWidth="1"/>
    <col min="10" max="10" width="21.1640625" style="1" bestFit="1" customWidth="1"/>
    <col min="11" max="11" width="23.33203125" style="1" bestFit="1" customWidth="1"/>
    <col min="12" max="12" width="26.6640625" style="1" bestFit="1" customWidth="1"/>
    <col min="13" max="13" width="31.6640625" style="1" bestFit="1" customWidth="1"/>
    <col min="14" max="14" width="23.5" style="1" bestFit="1" customWidth="1"/>
    <col min="15" max="15" width="33.1640625" style="1" bestFit="1" customWidth="1"/>
    <col min="16" max="16" width="25.5" style="1" bestFit="1" customWidth="1"/>
    <col min="17" max="17" width="21" style="1" bestFit="1" customWidth="1"/>
    <col min="18" max="16384" width="9.1640625" style="1"/>
  </cols>
  <sheetData>
    <row r="1" spans="1:17" x14ac:dyDescent="0.2">
      <c r="A1" s="51" t="s">
        <v>0</v>
      </c>
      <c r="B1" s="51"/>
      <c r="C1" s="51"/>
      <c r="D1" s="51"/>
      <c r="E1" s="51"/>
      <c r="F1" s="51"/>
      <c r="G1" s="51"/>
      <c r="H1" s="51"/>
      <c r="I1" s="51"/>
      <c r="M1" s="52" t="s">
        <v>57</v>
      </c>
      <c r="N1" s="53"/>
      <c r="O1" s="53"/>
      <c r="P1" s="53"/>
      <c r="Q1" s="53"/>
    </row>
    <row r="2" spans="1:17" x14ac:dyDescent="0.2">
      <c r="A2" s="2" t="s">
        <v>58</v>
      </c>
      <c r="B2" s="2" t="s">
        <v>59</v>
      </c>
      <c r="C2" s="2" t="s">
        <v>60</v>
      </c>
      <c r="D2" s="5" t="s">
        <v>61</v>
      </c>
      <c r="E2" s="5" t="s">
        <v>62</v>
      </c>
      <c r="F2" s="5" t="s">
        <v>63</v>
      </c>
      <c r="G2" s="5" t="s">
        <v>64</v>
      </c>
      <c r="H2" s="5" t="s">
        <v>65</v>
      </c>
      <c r="I2" s="5" t="s">
        <v>66</v>
      </c>
      <c r="M2" s="7" t="s">
        <v>67</v>
      </c>
      <c r="N2" s="7" t="s">
        <v>68</v>
      </c>
      <c r="O2" s="7" t="s">
        <v>22</v>
      </c>
      <c r="P2" s="7" t="s">
        <v>23</v>
      </c>
      <c r="Q2" s="7" t="s">
        <v>24</v>
      </c>
    </row>
    <row r="3" spans="1:17" x14ac:dyDescent="0.2">
      <c r="A3" s="3" t="s">
        <v>25</v>
      </c>
      <c r="B3" s="3" t="s">
        <v>26</v>
      </c>
      <c r="C3" s="3" t="s">
        <v>27</v>
      </c>
      <c r="D3" s="3" t="s">
        <v>28</v>
      </c>
      <c r="E3" s="3" t="s">
        <v>28</v>
      </c>
      <c r="F3" s="3" t="s">
        <v>28</v>
      </c>
      <c r="G3" s="3" t="s">
        <v>28</v>
      </c>
      <c r="H3" s="3" t="s">
        <v>29</v>
      </c>
      <c r="I3" s="3" t="s">
        <v>28</v>
      </c>
      <c r="M3" s="8" t="s">
        <v>30</v>
      </c>
      <c r="N3" s="8" t="s">
        <v>30</v>
      </c>
      <c r="O3" s="8" t="s">
        <v>30</v>
      </c>
      <c r="P3" s="8" t="s">
        <v>30</v>
      </c>
      <c r="Q3" s="8" t="s">
        <v>30</v>
      </c>
    </row>
    <row r="4" spans="1:17" x14ac:dyDescent="0.2">
      <c r="A4" s="1" t="s">
        <v>69</v>
      </c>
      <c r="B4" s="1" t="s">
        <v>70</v>
      </c>
      <c r="C4" s="1" t="s">
        <v>71</v>
      </c>
      <c r="D4" s="46">
        <v>-1</v>
      </c>
      <c r="E4" s="46">
        <v>-1</v>
      </c>
      <c r="F4" s="18">
        <v>1630</v>
      </c>
      <c r="G4" s="18">
        <v>900</v>
      </c>
      <c r="H4" s="46">
        <v>-1</v>
      </c>
      <c r="I4" s="46">
        <v>-1</v>
      </c>
      <c r="M4" s="1" t="s">
        <v>69</v>
      </c>
      <c r="N4" s="33" t="s">
        <v>72</v>
      </c>
      <c r="O4" s="1" t="s">
        <v>35</v>
      </c>
      <c r="P4" s="31"/>
      <c r="Q4" s="33" t="s">
        <v>36</v>
      </c>
    </row>
    <row r="5" spans="1:17" x14ac:dyDescent="0.2">
      <c r="A5" s="1" t="s">
        <v>73</v>
      </c>
      <c r="B5" s="1" t="s">
        <v>74</v>
      </c>
      <c r="C5" s="1" t="s">
        <v>71</v>
      </c>
      <c r="D5" s="46">
        <v>-1</v>
      </c>
      <c r="E5" s="46">
        <v>-1</v>
      </c>
      <c r="F5" s="18">
        <v>1630</v>
      </c>
      <c r="G5" s="18">
        <v>900</v>
      </c>
      <c r="H5" s="46">
        <v>-1</v>
      </c>
      <c r="I5" s="46">
        <v>-1</v>
      </c>
      <c r="M5" s="1" t="s">
        <v>73</v>
      </c>
      <c r="N5" s="33" t="s">
        <v>72</v>
      </c>
      <c r="O5" s="1" t="s">
        <v>35</v>
      </c>
      <c r="P5" s="31"/>
      <c r="Q5" s="33" t="s">
        <v>36</v>
      </c>
    </row>
    <row r="6" spans="1:17" x14ac:dyDescent="0.2">
      <c r="A6" s="1" t="s">
        <v>75</v>
      </c>
      <c r="B6" s="1" t="s">
        <v>76</v>
      </c>
      <c r="C6" s="1" t="s">
        <v>71</v>
      </c>
      <c r="D6" s="46">
        <v>-1</v>
      </c>
      <c r="E6" s="46">
        <v>-1</v>
      </c>
      <c r="F6" s="18">
        <v>1630</v>
      </c>
      <c r="G6" s="18">
        <v>900</v>
      </c>
      <c r="H6" s="46">
        <v>-1</v>
      </c>
      <c r="I6" s="46">
        <v>-1</v>
      </c>
      <c r="M6" s="1" t="s">
        <v>75</v>
      </c>
      <c r="N6" s="33" t="s">
        <v>72</v>
      </c>
      <c r="O6" s="1" t="s">
        <v>35</v>
      </c>
      <c r="P6" s="31"/>
      <c r="Q6" s="33" t="s">
        <v>36</v>
      </c>
    </row>
    <row r="7" spans="1:17" x14ac:dyDescent="0.2">
      <c r="A7" s="1" t="s">
        <v>77</v>
      </c>
      <c r="B7" s="1" t="s">
        <v>78</v>
      </c>
      <c r="C7" s="1" t="s">
        <v>71</v>
      </c>
      <c r="D7" s="46">
        <v>-1</v>
      </c>
      <c r="E7" s="46">
        <v>-1</v>
      </c>
      <c r="F7" s="18">
        <v>1630</v>
      </c>
      <c r="G7" s="18">
        <v>900</v>
      </c>
      <c r="H7" s="46">
        <v>-1</v>
      </c>
      <c r="I7" s="46">
        <v>-1</v>
      </c>
      <c r="M7" s="1" t="s">
        <v>77</v>
      </c>
      <c r="N7" s="33" t="s">
        <v>72</v>
      </c>
      <c r="O7" s="1" t="s">
        <v>35</v>
      </c>
      <c r="P7" s="31"/>
      <c r="Q7" s="33" t="s">
        <v>36</v>
      </c>
    </row>
    <row r="8" spans="1:17" x14ac:dyDescent="0.2">
      <c r="A8" s="1" t="s">
        <v>79</v>
      </c>
      <c r="B8" s="1" t="s">
        <v>80</v>
      </c>
      <c r="C8" s="1" t="s">
        <v>71</v>
      </c>
      <c r="D8" s="18">
        <v>1280</v>
      </c>
      <c r="E8" s="18">
        <v>900</v>
      </c>
      <c r="F8" s="18">
        <v>1200</v>
      </c>
      <c r="G8" s="18">
        <v>900</v>
      </c>
      <c r="H8" s="46">
        <v>-1</v>
      </c>
      <c r="I8" s="46">
        <v>-1</v>
      </c>
      <c r="M8" s="1" t="s">
        <v>79</v>
      </c>
      <c r="N8" s="33" t="s">
        <v>81</v>
      </c>
      <c r="O8" s="1" t="s">
        <v>35</v>
      </c>
      <c r="P8" s="31"/>
      <c r="Q8" s="33" t="s">
        <v>42</v>
      </c>
    </row>
    <row r="9" spans="1:17" x14ac:dyDescent="0.2">
      <c r="A9" s="1" t="s">
        <v>82</v>
      </c>
      <c r="B9" s="1" t="s">
        <v>83</v>
      </c>
      <c r="C9" s="1" t="s">
        <v>71</v>
      </c>
      <c r="D9" s="18">
        <v>1280</v>
      </c>
      <c r="E9" s="18">
        <v>900</v>
      </c>
      <c r="F9" s="18">
        <v>1200</v>
      </c>
      <c r="G9" s="18">
        <v>900</v>
      </c>
      <c r="H9" s="46">
        <v>-1</v>
      </c>
      <c r="I9" s="46">
        <v>-1</v>
      </c>
      <c r="M9" s="1" t="s">
        <v>82</v>
      </c>
      <c r="N9" s="33" t="s">
        <v>81</v>
      </c>
      <c r="O9" s="1" t="s">
        <v>35</v>
      </c>
      <c r="P9"/>
      <c r="Q9" s="33" t="s">
        <v>42</v>
      </c>
    </row>
    <row r="10" spans="1:17" x14ac:dyDescent="0.2">
      <c r="A10" s="1" t="s">
        <v>84</v>
      </c>
      <c r="B10" s="1" t="s">
        <v>85</v>
      </c>
      <c r="C10" s="1" t="s">
        <v>71</v>
      </c>
      <c r="D10" s="18">
        <v>1280</v>
      </c>
      <c r="E10" s="18">
        <v>900</v>
      </c>
      <c r="F10" s="18">
        <v>1200</v>
      </c>
      <c r="G10" s="18">
        <v>900</v>
      </c>
      <c r="H10" s="46">
        <v>-1</v>
      </c>
      <c r="I10" s="46">
        <v>-1</v>
      </c>
      <c r="M10" s="1" t="s">
        <v>84</v>
      </c>
      <c r="N10" s="33" t="s">
        <v>81</v>
      </c>
      <c r="O10" s="1" t="s">
        <v>35</v>
      </c>
      <c r="Q10" s="33" t="s">
        <v>42</v>
      </c>
    </row>
    <row r="11" spans="1:17" x14ac:dyDescent="0.2">
      <c r="A11" s="1" t="s">
        <v>86</v>
      </c>
      <c r="B11" s="1" t="s">
        <v>87</v>
      </c>
      <c r="C11" s="1" t="s">
        <v>71</v>
      </c>
      <c r="D11" s="18">
        <v>1280</v>
      </c>
      <c r="E11" s="18">
        <v>900</v>
      </c>
      <c r="F11" s="18">
        <v>1200</v>
      </c>
      <c r="G11" s="18">
        <v>900</v>
      </c>
      <c r="H11" s="46">
        <v>-1</v>
      </c>
      <c r="I11" s="46">
        <v>-1</v>
      </c>
      <c r="M11" s="1" t="s">
        <v>86</v>
      </c>
      <c r="N11" s="33" t="s">
        <v>81</v>
      </c>
      <c r="O11" s="1" t="s">
        <v>35</v>
      </c>
      <c r="Q11" s="33" t="s">
        <v>42</v>
      </c>
    </row>
    <row r="12" spans="1:17" x14ac:dyDescent="0.2">
      <c r="A12" s="1" t="s">
        <v>88</v>
      </c>
      <c r="B12" s="1" t="s">
        <v>89</v>
      </c>
      <c r="C12" s="1" t="s">
        <v>71</v>
      </c>
      <c r="D12" s="46">
        <v>-1</v>
      </c>
      <c r="E12" s="46">
        <v>-1</v>
      </c>
      <c r="F12" s="18">
        <v>833.79</v>
      </c>
      <c r="G12" s="46">
        <v>-1</v>
      </c>
      <c r="H12" s="25" t="s">
        <v>90</v>
      </c>
      <c r="I12" s="54">
        <v>736.07079999999996</v>
      </c>
      <c r="M12" s="1" t="s">
        <v>88</v>
      </c>
      <c r="N12" s="33" t="s">
        <v>91</v>
      </c>
      <c r="O12" s="1" t="s">
        <v>35</v>
      </c>
      <c r="P12" t="s">
        <v>55</v>
      </c>
      <c r="Q12" s="33" t="s">
        <v>56</v>
      </c>
    </row>
    <row r="13" spans="1:17" x14ac:dyDescent="0.2">
      <c r="A13" s="1" t="s">
        <v>92</v>
      </c>
      <c r="B13" s="1" t="s">
        <v>93</v>
      </c>
      <c r="C13" s="1" t="s">
        <v>71</v>
      </c>
      <c r="D13" s="46">
        <v>-1</v>
      </c>
      <c r="E13" s="46">
        <v>-1</v>
      </c>
      <c r="F13" s="18">
        <v>833.79</v>
      </c>
      <c r="G13" s="46">
        <v>-1</v>
      </c>
      <c r="H13" s="25" t="s">
        <v>90</v>
      </c>
      <c r="I13" s="54"/>
      <c r="M13" s="1" t="s">
        <v>92</v>
      </c>
      <c r="N13" s="33" t="s">
        <v>91</v>
      </c>
      <c r="O13" s="1" t="s">
        <v>35</v>
      </c>
      <c r="P13" t="s">
        <v>55</v>
      </c>
      <c r="Q13" s="33" t="s">
        <v>56</v>
      </c>
    </row>
    <row r="14" spans="1:17" x14ac:dyDescent="0.2">
      <c r="A14" s="1" t="s">
        <v>94</v>
      </c>
      <c r="B14" s="1" t="s">
        <v>95</v>
      </c>
      <c r="C14" s="1" t="s">
        <v>71</v>
      </c>
      <c r="D14" s="46">
        <v>-1</v>
      </c>
      <c r="E14" s="46">
        <v>-1</v>
      </c>
      <c r="F14" s="18">
        <v>833.79</v>
      </c>
      <c r="G14" s="46">
        <v>-1</v>
      </c>
      <c r="H14" s="25" t="s">
        <v>90</v>
      </c>
      <c r="I14" s="54"/>
      <c r="M14" s="1" t="s">
        <v>94</v>
      </c>
      <c r="N14" s="33" t="s">
        <v>91</v>
      </c>
      <c r="O14" s="1" t="s">
        <v>35</v>
      </c>
      <c r="P14" t="s">
        <v>55</v>
      </c>
      <c r="Q14" s="33" t="s">
        <v>56</v>
      </c>
    </row>
    <row r="15" spans="1:17" x14ac:dyDescent="0.2">
      <c r="A15" s="1" t="s">
        <v>96</v>
      </c>
      <c r="B15" s="1" t="s">
        <v>97</v>
      </c>
      <c r="C15" s="1" t="s">
        <v>71</v>
      </c>
      <c r="D15" s="46">
        <v>-1</v>
      </c>
      <c r="E15" s="46">
        <v>-1</v>
      </c>
      <c r="F15" s="28">
        <v>833.79</v>
      </c>
      <c r="G15" s="46">
        <v>-1</v>
      </c>
      <c r="H15" s="25" t="s">
        <v>90</v>
      </c>
      <c r="I15" s="54"/>
      <c r="M15" s="1" t="s">
        <v>96</v>
      </c>
      <c r="N15" s="33" t="s">
        <v>91</v>
      </c>
      <c r="O15" s="1" t="s">
        <v>35</v>
      </c>
      <c r="P15" t="s">
        <v>55</v>
      </c>
      <c r="Q15" s="33" t="s">
        <v>56</v>
      </c>
    </row>
    <row r="16" spans="1:17" x14ac:dyDescent="0.2">
      <c r="F16" s="29"/>
    </row>
    <row r="17" spans="1:17" x14ac:dyDescent="0.2">
      <c r="O17" s="36"/>
    </row>
    <row r="18" spans="1:17" x14ac:dyDescent="0.2">
      <c r="A18" s="31"/>
    </row>
    <row r="19" spans="1:17" x14ac:dyDescent="0.2">
      <c r="A19" s="21"/>
    </row>
    <row r="20" spans="1:17" x14ac:dyDescent="0.2">
      <c r="A20" s="22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</row>
    <row r="21" spans="1:17" x14ac:dyDescent="0.2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</row>
    <row r="22" spans="1:17" x14ac:dyDescent="0.2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</row>
    <row r="23" spans="1:17" x14ac:dyDescent="0.2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 spans="1:17" x14ac:dyDescent="0.2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</row>
    <row r="25" spans="1:17" x14ac:dyDescent="0.2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 spans="1:17" x14ac:dyDescent="0.2">
      <c r="B26"/>
      <c r="C26"/>
      <c r="D26"/>
      <c r="E26"/>
      <c r="F26" s="20"/>
      <c r="G26" s="20"/>
      <c r="H26" s="20"/>
      <c r="I26" s="20"/>
      <c r="J26"/>
      <c r="K26"/>
      <c r="L26"/>
      <c r="M26"/>
      <c r="N26"/>
      <c r="O26"/>
      <c r="P26"/>
      <c r="Q26"/>
    </row>
    <row r="27" spans="1:17" x14ac:dyDescent="0.2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 spans="1:17" x14ac:dyDescent="0.2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</row>
    <row r="29" spans="1:17" x14ac:dyDescent="0.2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1:17" x14ac:dyDescent="0.2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</row>
    <row r="31" spans="1:17" x14ac:dyDescent="0.2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 spans="1:17" x14ac:dyDescent="0.2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</row>
    <row r="33" spans="2:17" x14ac:dyDescent="0.2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8" spans="2:17" x14ac:dyDescent="0.2">
      <c r="P38"/>
    </row>
    <row r="39" spans="2:17" x14ac:dyDescent="0.2">
      <c r="P39"/>
    </row>
    <row r="40" spans="2:17" x14ac:dyDescent="0.2">
      <c r="P40"/>
    </row>
    <row r="41" spans="2:17" x14ac:dyDescent="0.2">
      <c r="P41"/>
    </row>
    <row r="42" spans="2:17" x14ac:dyDescent="0.2">
      <c r="P42"/>
    </row>
    <row r="43" spans="2:17" x14ac:dyDescent="0.2">
      <c r="P43"/>
    </row>
    <row r="44" spans="2:17" x14ac:dyDescent="0.2">
      <c r="P44"/>
    </row>
    <row r="45" spans="2:17" x14ac:dyDescent="0.2">
      <c r="P45"/>
    </row>
  </sheetData>
  <mergeCells count="3">
    <mergeCell ref="I12:I15"/>
    <mergeCell ref="A1:I1"/>
    <mergeCell ref="M1:Q1"/>
  </mergeCells>
  <phoneticPr fontId="1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69D4-F3BD-4C44-A22F-A86FC2F323E0}">
  <sheetPr>
    <tabColor theme="2" tint="-9.9978637043366805E-2"/>
  </sheetPr>
  <dimension ref="A1:N12"/>
  <sheetViews>
    <sheetView topLeftCell="F1" zoomScale="80" zoomScaleNormal="80" workbookViewId="0">
      <selection activeCell="I67" sqref="I67"/>
    </sheetView>
  </sheetViews>
  <sheetFormatPr baseColWidth="10" defaultColWidth="8.83203125" defaultRowHeight="15" x14ac:dyDescent="0.2"/>
  <cols>
    <col min="1" max="1" width="22.83203125" bestFit="1" customWidth="1"/>
    <col min="2" max="2" width="22.5" bestFit="1" customWidth="1"/>
    <col min="3" max="3" width="48.6640625" bestFit="1" customWidth="1"/>
    <col min="4" max="4" width="30.6640625" bestFit="1" customWidth="1"/>
    <col min="5" max="5" width="38.6640625" bestFit="1" customWidth="1"/>
    <col min="6" max="6" width="53.1640625" bestFit="1" customWidth="1"/>
    <col min="7" max="7" width="53.5" bestFit="1" customWidth="1"/>
    <col min="8" max="8" width="53.1640625" customWidth="1"/>
    <col min="9" max="9" width="20.33203125" bestFit="1" customWidth="1"/>
    <col min="10" max="10" width="31.6640625" bestFit="1" customWidth="1"/>
    <col min="11" max="11" width="65.33203125" customWidth="1"/>
    <col min="12" max="12" width="116.5" bestFit="1" customWidth="1"/>
    <col min="13" max="13" width="61.5" customWidth="1"/>
    <col min="14" max="14" width="30.33203125" customWidth="1"/>
  </cols>
  <sheetData>
    <row r="1" spans="1:14" ht="16" x14ac:dyDescent="0.2">
      <c r="A1" s="51" t="s">
        <v>0</v>
      </c>
      <c r="B1" s="51"/>
      <c r="C1" s="51"/>
      <c r="D1" s="51"/>
      <c r="E1" s="51"/>
      <c r="F1" s="55"/>
      <c r="G1" s="55"/>
      <c r="H1" s="55"/>
      <c r="J1" s="52" t="s">
        <v>98</v>
      </c>
      <c r="K1" s="53"/>
      <c r="L1" s="53"/>
      <c r="M1" s="53"/>
      <c r="N1" s="53"/>
    </row>
    <row r="2" spans="1:14" x14ac:dyDescent="0.2">
      <c r="A2" s="2" t="s">
        <v>22</v>
      </c>
      <c r="B2" s="2" t="s">
        <v>99</v>
      </c>
      <c r="C2" s="2" t="s">
        <v>100</v>
      </c>
      <c r="D2" s="2" t="s">
        <v>101</v>
      </c>
      <c r="E2" s="2" t="s">
        <v>102</v>
      </c>
      <c r="F2" s="2" t="s">
        <v>103</v>
      </c>
      <c r="G2" s="44" t="s">
        <v>104</v>
      </c>
      <c r="H2" s="45" t="s">
        <v>105</v>
      </c>
      <c r="J2" s="7" t="s">
        <v>22</v>
      </c>
      <c r="K2" s="7" t="s">
        <v>20</v>
      </c>
      <c r="L2" s="7" t="s">
        <v>58</v>
      </c>
      <c r="M2" s="7" t="s">
        <v>23</v>
      </c>
      <c r="N2" s="7" t="s">
        <v>24</v>
      </c>
    </row>
    <row r="3" spans="1:14" x14ac:dyDescent="0.2">
      <c r="A3" s="3" t="s">
        <v>25</v>
      </c>
      <c r="B3" s="3" t="s">
        <v>26</v>
      </c>
      <c r="C3" s="3" t="s">
        <v>28</v>
      </c>
      <c r="D3" s="3" t="s">
        <v>28</v>
      </c>
      <c r="E3" s="3" t="s">
        <v>28</v>
      </c>
      <c r="F3" s="3" t="s">
        <v>28</v>
      </c>
      <c r="G3" s="3" t="s">
        <v>28</v>
      </c>
      <c r="H3" s="3" t="s">
        <v>28</v>
      </c>
      <c r="J3" s="8" t="s">
        <v>30</v>
      </c>
      <c r="K3" s="8" t="s">
        <v>30</v>
      </c>
      <c r="L3" s="8" t="s">
        <v>30</v>
      </c>
      <c r="M3" s="8" t="s">
        <v>30</v>
      </c>
      <c r="N3" s="8" t="s">
        <v>30</v>
      </c>
    </row>
    <row r="4" spans="1:14" x14ac:dyDescent="0.2">
      <c r="A4" t="s">
        <v>106</v>
      </c>
      <c r="B4" t="s">
        <v>107</v>
      </c>
      <c r="C4" s="30">
        <v>0.98750001192092896</v>
      </c>
      <c r="D4" s="30">
        <v>40140</v>
      </c>
      <c r="E4" s="30">
        <v>3.0500000342726699</v>
      </c>
      <c r="F4">
        <v>3.1139999999999999</v>
      </c>
      <c r="G4" s="30">
        <v>0.08</v>
      </c>
      <c r="H4" s="30">
        <v>0.6</v>
      </c>
      <c r="J4" t="s">
        <v>106</v>
      </c>
      <c r="K4" t="s">
        <v>108</v>
      </c>
      <c r="L4" t="s">
        <v>109</v>
      </c>
      <c r="N4" t="s">
        <v>110</v>
      </c>
    </row>
    <row r="5" spans="1:14" x14ac:dyDescent="0.2">
      <c r="A5" t="s">
        <v>111</v>
      </c>
      <c r="B5" t="s">
        <v>112</v>
      </c>
      <c r="C5" s="30">
        <v>0.86040002107620195</v>
      </c>
      <c r="D5" s="30">
        <v>42610</v>
      </c>
      <c r="E5" s="30">
        <v>6.99999975040555E-2</v>
      </c>
      <c r="F5" s="30">
        <v>3.206</v>
      </c>
      <c r="G5" s="30">
        <v>0.08</v>
      </c>
      <c r="H5" s="30">
        <v>0.1</v>
      </c>
      <c r="J5" t="s">
        <v>111</v>
      </c>
      <c r="K5" t="s">
        <v>108</v>
      </c>
      <c r="L5" t="s">
        <v>109</v>
      </c>
      <c r="M5" t="s">
        <v>113</v>
      </c>
      <c r="N5" t="s">
        <v>110</v>
      </c>
    </row>
    <row r="6" spans="1:14" x14ac:dyDescent="0.2">
      <c r="A6" t="s">
        <v>114</v>
      </c>
      <c r="B6" t="s">
        <v>115</v>
      </c>
      <c r="C6" s="30">
        <v>0.86040002107620195</v>
      </c>
      <c r="D6" s="30">
        <v>42610</v>
      </c>
      <c r="E6" s="30">
        <v>6.99999975040555E-2</v>
      </c>
      <c r="F6" s="30">
        <v>3.2</v>
      </c>
      <c r="G6" s="30">
        <v>0.08</v>
      </c>
      <c r="H6" s="30">
        <v>0.1</v>
      </c>
      <c r="J6" t="s">
        <v>114</v>
      </c>
      <c r="K6" t="s">
        <v>108</v>
      </c>
      <c r="L6" t="s">
        <v>109</v>
      </c>
      <c r="M6" t="s">
        <v>113</v>
      </c>
      <c r="N6" t="s">
        <v>110</v>
      </c>
    </row>
    <row r="9" spans="1:14" x14ac:dyDescent="0.2">
      <c r="A9" s="31"/>
      <c r="C9" s="20"/>
      <c r="D9" s="20"/>
    </row>
    <row r="10" spans="1:14" ht="16" x14ac:dyDescent="0.2">
      <c r="A10" s="21"/>
    </row>
    <row r="11" spans="1:14" ht="16" x14ac:dyDescent="0.2">
      <c r="A11" s="22"/>
    </row>
    <row r="12" spans="1:14" ht="16" x14ac:dyDescent="0.2">
      <c r="A12" s="1"/>
    </row>
  </sheetData>
  <mergeCells count="3">
    <mergeCell ref="A1:E1"/>
    <mergeCell ref="J1:N1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DAFBC-0A34-47F3-9ECF-F5239E3EEEEA}">
  <sheetPr>
    <tabColor theme="2" tint="-9.9978637043366805E-2"/>
  </sheetPr>
  <dimension ref="A1:N14"/>
  <sheetViews>
    <sheetView zoomScale="90" zoomScaleNormal="90" workbookViewId="0">
      <selection activeCell="B5" sqref="B5"/>
    </sheetView>
  </sheetViews>
  <sheetFormatPr baseColWidth="10" defaultColWidth="8.83203125" defaultRowHeight="15" x14ac:dyDescent="0.2"/>
  <cols>
    <col min="1" max="1" width="23.5" bestFit="1" customWidth="1"/>
    <col min="2" max="3" width="54.83203125" bestFit="1" customWidth="1"/>
    <col min="4" max="4" width="32.1640625" bestFit="1" customWidth="1"/>
    <col min="5" max="5" width="27.1640625" bestFit="1" customWidth="1"/>
    <col min="6" max="6" width="39.83203125" bestFit="1" customWidth="1"/>
    <col min="10" max="10" width="23.5" bestFit="1" customWidth="1"/>
    <col min="11" max="11" width="27.1640625" bestFit="1" customWidth="1"/>
    <col min="12" max="12" width="24.83203125" bestFit="1" customWidth="1"/>
    <col min="13" max="13" width="25.5" bestFit="1" customWidth="1"/>
    <col min="14" max="14" width="21" bestFit="1" customWidth="1"/>
  </cols>
  <sheetData>
    <row r="1" spans="1:14" ht="16" x14ac:dyDescent="0.2">
      <c r="A1" s="51" t="s">
        <v>0</v>
      </c>
      <c r="B1" s="51"/>
      <c r="C1" s="51"/>
      <c r="D1" s="51"/>
      <c r="E1" s="51"/>
      <c r="F1" s="51"/>
      <c r="J1" s="53" t="s">
        <v>116</v>
      </c>
      <c r="K1" s="53"/>
      <c r="L1" s="53"/>
      <c r="M1" s="53"/>
      <c r="N1" s="53"/>
    </row>
    <row r="2" spans="1:14" x14ac:dyDescent="0.2">
      <c r="A2" s="2" t="s">
        <v>21</v>
      </c>
      <c r="B2" s="2" t="s">
        <v>117</v>
      </c>
      <c r="C2" s="2" t="s">
        <v>118</v>
      </c>
      <c r="D2" s="2" t="s">
        <v>119</v>
      </c>
      <c r="E2" s="2" t="s">
        <v>120</v>
      </c>
      <c r="F2" s="2" t="s">
        <v>121</v>
      </c>
      <c r="J2" s="7" t="s">
        <v>21</v>
      </c>
      <c r="K2" s="7" t="s">
        <v>20</v>
      </c>
      <c r="L2" s="7" t="s">
        <v>122</v>
      </c>
      <c r="M2" s="7" t="s">
        <v>23</v>
      </c>
      <c r="N2" s="7" t="s">
        <v>24</v>
      </c>
    </row>
    <row r="3" spans="1:14" x14ac:dyDescent="0.2">
      <c r="A3" s="3" t="s">
        <v>25</v>
      </c>
      <c r="B3" s="3" t="s">
        <v>26</v>
      </c>
      <c r="C3" s="3" t="s">
        <v>27</v>
      </c>
      <c r="D3" s="3" t="s">
        <v>28</v>
      </c>
      <c r="E3" s="3"/>
      <c r="F3" s="3"/>
      <c r="J3" s="8" t="s">
        <v>30</v>
      </c>
      <c r="K3" s="8" t="s">
        <v>30</v>
      </c>
      <c r="L3" s="8" t="s">
        <v>30</v>
      </c>
      <c r="M3" s="8" t="s">
        <v>30</v>
      </c>
      <c r="N3" s="8" t="s">
        <v>30</v>
      </c>
    </row>
    <row r="4" spans="1:14" ht="16" x14ac:dyDescent="0.2">
      <c r="A4" s="39" t="s">
        <v>34</v>
      </c>
      <c r="B4" s="39" t="s">
        <v>123</v>
      </c>
      <c r="C4" s="39" t="s">
        <v>124</v>
      </c>
      <c r="D4" s="46">
        <v>-1</v>
      </c>
      <c r="E4" s="39" t="s">
        <v>125</v>
      </c>
      <c r="F4" t="s">
        <v>126</v>
      </c>
      <c r="J4" s="39" t="s">
        <v>34</v>
      </c>
      <c r="K4" s="39" t="s">
        <v>31</v>
      </c>
      <c r="L4" s="39" t="s">
        <v>127</v>
      </c>
      <c r="M4" s="31"/>
      <c r="N4" s="33" t="s">
        <v>36</v>
      </c>
    </row>
    <row r="5" spans="1:14" ht="16" x14ac:dyDescent="0.2">
      <c r="A5" t="s">
        <v>40</v>
      </c>
      <c r="B5" t="s">
        <v>128</v>
      </c>
      <c r="C5" t="s">
        <v>129</v>
      </c>
      <c r="D5" s="46">
        <v>-1</v>
      </c>
      <c r="E5" s="39" t="s">
        <v>130</v>
      </c>
      <c r="F5" t="s">
        <v>131</v>
      </c>
      <c r="J5" t="s">
        <v>40</v>
      </c>
      <c r="K5" s="1" t="s">
        <v>132</v>
      </c>
      <c r="L5" t="s">
        <v>133</v>
      </c>
      <c r="M5" t="s">
        <v>41</v>
      </c>
      <c r="N5" s="33" t="s">
        <v>42</v>
      </c>
    </row>
    <row r="6" spans="1:14" ht="16" x14ac:dyDescent="0.2">
      <c r="A6" t="s">
        <v>47</v>
      </c>
      <c r="B6" t="s">
        <v>128</v>
      </c>
      <c r="C6" t="s">
        <v>129</v>
      </c>
      <c r="D6" s="46">
        <v>-1</v>
      </c>
      <c r="E6" s="39" t="s">
        <v>130</v>
      </c>
      <c r="F6" t="s">
        <v>131</v>
      </c>
      <c r="J6" t="s">
        <v>47</v>
      </c>
      <c r="K6" s="1" t="s">
        <v>134</v>
      </c>
      <c r="L6" t="s">
        <v>135</v>
      </c>
      <c r="M6" t="s">
        <v>48</v>
      </c>
      <c r="N6" s="33" t="s">
        <v>42</v>
      </c>
    </row>
    <row r="7" spans="1:14" ht="16" x14ac:dyDescent="0.2">
      <c r="A7" s="39" t="s">
        <v>54</v>
      </c>
      <c r="B7" s="39" t="s">
        <v>136</v>
      </c>
      <c r="C7" s="39" t="s">
        <v>124</v>
      </c>
      <c r="D7" s="46">
        <v>-1</v>
      </c>
      <c r="E7" s="39" t="s">
        <v>125</v>
      </c>
      <c r="F7" t="s">
        <v>126</v>
      </c>
      <c r="J7" s="39" t="s">
        <v>54</v>
      </c>
      <c r="K7" s="39" t="s">
        <v>51</v>
      </c>
      <c r="L7" s="39" t="s">
        <v>137</v>
      </c>
      <c r="M7" s="31"/>
      <c r="N7" s="33" t="s">
        <v>56</v>
      </c>
    </row>
    <row r="8" spans="1:14" ht="16" x14ac:dyDescent="0.2">
      <c r="A8" s="31"/>
      <c r="K8" s="1"/>
      <c r="L8" s="1"/>
      <c r="M8" s="31"/>
      <c r="N8" s="33"/>
    </row>
    <row r="9" spans="1:14" ht="16" x14ac:dyDescent="0.2">
      <c r="A9" s="31"/>
      <c r="J9" s="31"/>
      <c r="K9" s="1"/>
      <c r="L9" s="31"/>
      <c r="N9" s="33"/>
    </row>
    <row r="10" spans="1:14" ht="16" x14ac:dyDescent="0.2">
      <c r="J10" s="1"/>
      <c r="K10" s="1"/>
      <c r="L10" s="1"/>
      <c r="M10" s="1"/>
      <c r="N10" s="1"/>
    </row>
    <row r="11" spans="1:14" ht="16" x14ac:dyDescent="0.2">
      <c r="A11" s="31"/>
      <c r="J11" s="1"/>
      <c r="K11" s="36"/>
      <c r="L11" s="1"/>
      <c r="N11" s="1"/>
    </row>
    <row r="12" spans="1:14" ht="16" x14ac:dyDescent="0.2">
      <c r="A12" s="21"/>
    </row>
    <row r="13" spans="1:14" ht="16" x14ac:dyDescent="0.2">
      <c r="A13" s="22"/>
    </row>
    <row r="14" spans="1:14" ht="16" x14ac:dyDescent="0.2">
      <c r="A14" s="1"/>
    </row>
  </sheetData>
  <mergeCells count="2">
    <mergeCell ref="A1:F1"/>
    <mergeCell ref="J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03AA-DA34-4E21-ABE6-E4440AA7B145}">
  <sheetPr>
    <tabColor theme="2" tint="-9.9978637043366805E-2"/>
  </sheetPr>
  <dimension ref="A1:J7"/>
  <sheetViews>
    <sheetView zoomScale="80" zoomScaleNormal="80" workbookViewId="0">
      <selection activeCell="J4" sqref="J4"/>
    </sheetView>
  </sheetViews>
  <sheetFormatPr baseColWidth="10" defaultColWidth="8.83203125" defaultRowHeight="15" x14ac:dyDescent="0.2"/>
  <cols>
    <col min="1" max="1" width="19.5" bestFit="1" customWidth="1"/>
    <col min="2" max="2" width="82.83203125" bestFit="1" customWidth="1"/>
    <col min="3" max="3" width="22" bestFit="1" customWidth="1"/>
    <col min="7" max="7" width="23.5" bestFit="1" customWidth="1"/>
    <col min="8" max="8" width="40.5" bestFit="1" customWidth="1"/>
    <col min="9" max="9" width="43" bestFit="1" customWidth="1"/>
    <col min="10" max="10" width="21" bestFit="1" customWidth="1"/>
  </cols>
  <sheetData>
    <row r="1" spans="1:10" ht="16" x14ac:dyDescent="0.2">
      <c r="A1" s="51" t="s">
        <v>0</v>
      </c>
      <c r="B1" s="51"/>
      <c r="C1" s="51"/>
      <c r="G1" s="53" t="s">
        <v>138</v>
      </c>
      <c r="H1" s="53"/>
      <c r="I1" s="53"/>
      <c r="J1" s="53"/>
    </row>
    <row r="2" spans="1:10" x14ac:dyDescent="0.2">
      <c r="A2" s="2" t="s">
        <v>68</v>
      </c>
      <c r="B2" s="2" t="s">
        <v>139</v>
      </c>
      <c r="C2" s="2" t="s">
        <v>140</v>
      </c>
      <c r="G2" s="7" t="s">
        <v>68</v>
      </c>
      <c r="H2" s="7" t="s">
        <v>58</v>
      </c>
      <c r="I2" s="7" t="s">
        <v>23</v>
      </c>
      <c r="J2" s="7" t="s">
        <v>24</v>
      </c>
    </row>
    <row r="3" spans="1:10" x14ac:dyDescent="0.2">
      <c r="A3" s="3" t="s">
        <v>25</v>
      </c>
      <c r="B3" s="3" t="s">
        <v>26</v>
      </c>
      <c r="C3" s="3" t="s">
        <v>27</v>
      </c>
      <c r="G3" s="8" t="s">
        <v>30</v>
      </c>
      <c r="H3" s="8" t="s">
        <v>30</v>
      </c>
      <c r="I3" s="8" t="s">
        <v>30</v>
      </c>
      <c r="J3" s="8" t="s">
        <v>30</v>
      </c>
    </row>
    <row r="4" spans="1:10" x14ac:dyDescent="0.2">
      <c r="A4" s="33" t="s">
        <v>72</v>
      </c>
      <c r="B4" t="s">
        <v>141</v>
      </c>
      <c r="C4" t="s">
        <v>142</v>
      </c>
      <c r="G4" s="33" t="s">
        <v>72</v>
      </c>
      <c r="H4" t="s">
        <v>143</v>
      </c>
      <c r="I4" t="s">
        <v>144</v>
      </c>
      <c r="J4" s="33" t="s">
        <v>36</v>
      </c>
    </row>
    <row r="5" spans="1:10" x14ac:dyDescent="0.2">
      <c r="A5" s="33" t="s">
        <v>81</v>
      </c>
      <c r="B5" t="s">
        <v>145</v>
      </c>
      <c r="C5" t="s">
        <v>142</v>
      </c>
      <c r="G5" s="33" t="s">
        <v>81</v>
      </c>
      <c r="H5" t="s">
        <v>146</v>
      </c>
      <c r="I5" t="s">
        <v>147</v>
      </c>
      <c r="J5" s="33" t="s">
        <v>42</v>
      </c>
    </row>
    <row r="6" spans="1:10" x14ac:dyDescent="0.2">
      <c r="A6" s="33" t="s">
        <v>91</v>
      </c>
      <c r="B6" t="s">
        <v>148</v>
      </c>
      <c r="C6" t="s">
        <v>142</v>
      </c>
      <c r="G6" s="33" t="s">
        <v>91</v>
      </c>
      <c r="H6" t="s">
        <v>149</v>
      </c>
      <c r="I6" t="s">
        <v>150</v>
      </c>
      <c r="J6" s="33" t="s">
        <v>56</v>
      </c>
    </row>
    <row r="7" spans="1:10" x14ac:dyDescent="0.2">
      <c r="G7" s="31"/>
      <c r="H7" s="31"/>
      <c r="I7" s="31"/>
      <c r="J7" s="33"/>
    </row>
  </sheetData>
  <mergeCells count="2">
    <mergeCell ref="A1:C1"/>
    <mergeCell ref="G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30FE7-0A30-4B3C-9B9F-3F138B24C0B8}">
  <dimension ref="A1:S13"/>
  <sheetViews>
    <sheetView topLeftCell="C1" zoomScale="80" zoomScaleNormal="80" workbookViewId="0">
      <selection activeCell="J4" sqref="J4"/>
    </sheetView>
  </sheetViews>
  <sheetFormatPr baseColWidth="10" defaultColWidth="8.83203125" defaultRowHeight="15" x14ac:dyDescent="0.2"/>
  <cols>
    <col min="1" max="1" width="24.83203125" bestFit="1" customWidth="1"/>
    <col min="2" max="2" width="45" bestFit="1" customWidth="1"/>
    <col min="3" max="3" width="27" bestFit="1" customWidth="1"/>
    <col min="4" max="4" width="33.5" bestFit="1" customWidth="1"/>
    <col min="5" max="5" width="49.1640625" bestFit="1" customWidth="1"/>
    <col min="6" max="6" width="37.1640625" bestFit="1" customWidth="1"/>
    <col min="7" max="7" width="29.83203125" bestFit="1" customWidth="1"/>
    <col min="8" max="8" width="46.33203125" bestFit="1" customWidth="1"/>
    <col min="9" max="9" width="43.5" bestFit="1" customWidth="1"/>
    <col min="10" max="10" width="58.1640625" bestFit="1" customWidth="1"/>
    <col min="11" max="11" width="33.5" bestFit="1" customWidth="1"/>
    <col min="12" max="12" width="35" bestFit="1" customWidth="1"/>
    <col min="16" max="16" width="18.5" bestFit="1" customWidth="1"/>
    <col min="17" max="17" width="41.5" bestFit="1" customWidth="1"/>
    <col min="18" max="18" width="47.5" bestFit="1" customWidth="1"/>
    <col min="19" max="19" width="21" bestFit="1" customWidth="1"/>
  </cols>
  <sheetData>
    <row r="1" spans="1:19" ht="16" x14ac:dyDescent="0.2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P1" s="53" t="s">
        <v>138</v>
      </c>
      <c r="Q1" s="53"/>
      <c r="R1" s="53"/>
      <c r="S1" s="53"/>
    </row>
    <row r="2" spans="1:19" x14ac:dyDescent="0.2">
      <c r="A2" s="2" t="s">
        <v>122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155</v>
      </c>
      <c r="G2" s="2" t="s">
        <v>156</v>
      </c>
      <c r="H2" s="2" t="s">
        <v>157</v>
      </c>
      <c r="I2" s="2" t="s">
        <v>158</v>
      </c>
      <c r="J2" s="2" t="s">
        <v>159</v>
      </c>
      <c r="K2" s="2" t="s">
        <v>160</v>
      </c>
      <c r="L2" s="2" t="s">
        <v>161</v>
      </c>
      <c r="P2" s="7" t="s">
        <v>122</v>
      </c>
      <c r="Q2" s="7" t="s">
        <v>21</v>
      </c>
      <c r="R2" s="7" t="s">
        <v>23</v>
      </c>
      <c r="S2" s="7" t="s">
        <v>24</v>
      </c>
    </row>
    <row r="3" spans="1:19" x14ac:dyDescent="0.2">
      <c r="A3" s="3" t="s">
        <v>25</v>
      </c>
      <c r="B3" s="3" t="s">
        <v>26</v>
      </c>
      <c r="C3" s="3" t="s">
        <v>27</v>
      </c>
      <c r="D3" s="3" t="s">
        <v>28</v>
      </c>
      <c r="E3" s="3" t="s">
        <v>28</v>
      </c>
      <c r="F3" s="3" t="s">
        <v>28</v>
      </c>
      <c r="G3" s="3" t="s">
        <v>28</v>
      </c>
      <c r="H3" s="3" t="s">
        <v>28</v>
      </c>
      <c r="I3" s="3" t="s">
        <v>28</v>
      </c>
      <c r="J3" s="3"/>
      <c r="K3" s="3"/>
      <c r="L3" s="3" t="s">
        <v>28</v>
      </c>
      <c r="P3" s="8" t="s">
        <v>30</v>
      </c>
      <c r="Q3" s="8" t="s">
        <v>30</v>
      </c>
      <c r="R3" s="8" t="s">
        <v>30</v>
      </c>
      <c r="S3" s="8" t="s">
        <v>30</v>
      </c>
    </row>
    <row r="4" spans="1:19" ht="16" x14ac:dyDescent="0.2">
      <c r="A4" t="s">
        <v>127</v>
      </c>
      <c r="B4" t="s">
        <v>162</v>
      </c>
      <c r="C4" t="s">
        <v>163</v>
      </c>
      <c r="D4" s="46">
        <v>-1</v>
      </c>
      <c r="E4" s="32">
        <v>91.999624999999995</v>
      </c>
      <c r="F4" s="40">
        <v>6100</v>
      </c>
      <c r="G4" s="40">
        <v>4</v>
      </c>
      <c r="H4" s="46">
        <v>-1</v>
      </c>
      <c r="I4" s="46">
        <v>-1</v>
      </c>
      <c r="J4" s="46">
        <v>-1</v>
      </c>
      <c r="K4" s="46">
        <v>-1</v>
      </c>
      <c r="L4" s="46">
        <v>-1</v>
      </c>
      <c r="P4" t="s">
        <v>127</v>
      </c>
      <c r="Q4" s="39" t="s">
        <v>34</v>
      </c>
      <c r="S4" s="33" t="s">
        <v>36</v>
      </c>
    </row>
    <row r="5" spans="1:19" ht="16" x14ac:dyDescent="0.2">
      <c r="A5" t="s">
        <v>133</v>
      </c>
      <c r="B5" t="s">
        <v>164</v>
      </c>
      <c r="C5" t="s">
        <v>163</v>
      </c>
      <c r="D5" s="46">
        <v>-1</v>
      </c>
      <c r="E5" s="46">
        <v>-1</v>
      </c>
      <c r="F5" s="46">
        <v>-1</v>
      </c>
      <c r="G5" s="40">
        <v>4</v>
      </c>
      <c r="H5" s="46">
        <v>-1</v>
      </c>
      <c r="I5" s="46">
        <v>-1</v>
      </c>
      <c r="J5" s="46">
        <v>-1</v>
      </c>
      <c r="K5" s="46">
        <v>-1</v>
      </c>
      <c r="L5" s="46">
        <v>-1</v>
      </c>
      <c r="P5" t="s">
        <v>133</v>
      </c>
      <c r="Q5" t="s">
        <v>40</v>
      </c>
      <c r="R5" t="s">
        <v>41</v>
      </c>
      <c r="S5" s="33" t="s">
        <v>42</v>
      </c>
    </row>
    <row r="6" spans="1:19" ht="16" x14ac:dyDescent="0.2">
      <c r="A6" t="s">
        <v>135</v>
      </c>
      <c r="B6" t="s">
        <v>164</v>
      </c>
      <c r="C6" t="s">
        <v>163</v>
      </c>
      <c r="D6" s="46">
        <v>-1</v>
      </c>
      <c r="E6" s="46">
        <v>-1</v>
      </c>
      <c r="F6" s="46">
        <v>-1</v>
      </c>
      <c r="G6" s="40">
        <v>4</v>
      </c>
      <c r="H6" s="46">
        <v>-1</v>
      </c>
      <c r="I6" s="46">
        <v>-1</v>
      </c>
      <c r="J6" s="46">
        <v>-1</v>
      </c>
      <c r="K6" s="46">
        <v>-1</v>
      </c>
      <c r="L6" s="46">
        <v>-1</v>
      </c>
      <c r="P6" t="s">
        <v>135</v>
      </c>
      <c r="Q6" t="s">
        <v>47</v>
      </c>
      <c r="R6" t="s">
        <v>48</v>
      </c>
      <c r="S6" s="33" t="s">
        <v>42</v>
      </c>
    </row>
    <row r="7" spans="1:19" ht="16" x14ac:dyDescent="0.2">
      <c r="A7" t="s">
        <v>137</v>
      </c>
      <c r="B7" t="s">
        <v>165</v>
      </c>
      <c r="C7" t="s">
        <v>166</v>
      </c>
      <c r="D7" s="46">
        <v>-1</v>
      </c>
      <c r="E7" s="46">
        <v>-1</v>
      </c>
      <c r="F7" s="40">
        <v>6500</v>
      </c>
      <c r="G7" s="40">
        <v>4</v>
      </c>
      <c r="H7" s="41">
        <v>0.79200000000000004</v>
      </c>
      <c r="I7" s="42">
        <v>24.5</v>
      </c>
      <c r="J7" s="42">
        <v>44.5</v>
      </c>
      <c r="K7" s="43">
        <v>0.16</v>
      </c>
      <c r="L7" s="46">
        <v>-1</v>
      </c>
      <c r="P7" t="s">
        <v>137</v>
      </c>
      <c r="Q7" s="39" t="s">
        <v>54</v>
      </c>
      <c r="S7" s="33" t="s">
        <v>56</v>
      </c>
    </row>
    <row r="8" spans="1:19" x14ac:dyDescent="0.2">
      <c r="D8" s="32"/>
      <c r="E8" s="32"/>
      <c r="F8" s="32"/>
      <c r="G8" s="32"/>
      <c r="H8" s="32"/>
      <c r="I8" s="32"/>
      <c r="J8" s="32"/>
      <c r="K8" s="32"/>
      <c r="L8" s="32"/>
    </row>
    <row r="10" spans="1:19" x14ac:dyDescent="0.2">
      <c r="A10" s="31"/>
    </row>
    <row r="11" spans="1:19" ht="16" x14ac:dyDescent="0.2">
      <c r="A11" s="21"/>
    </row>
    <row r="12" spans="1:19" ht="16" x14ac:dyDescent="0.2">
      <c r="A12" s="22"/>
    </row>
    <row r="13" spans="1:19" ht="16" x14ac:dyDescent="0.2">
      <c r="A13" s="1"/>
    </row>
  </sheetData>
  <mergeCells count="2">
    <mergeCell ref="A1:L1"/>
    <mergeCell ref="P1:S1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C8ED-2D90-4D58-8A6D-C722432BD8FB}">
  <dimension ref="A1:I14"/>
  <sheetViews>
    <sheetView zoomScale="162" zoomScaleNormal="162" workbookViewId="0">
      <selection activeCell="A6" sqref="A6"/>
    </sheetView>
  </sheetViews>
  <sheetFormatPr baseColWidth="10" defaultColWidth="8.83203125" defaultRowHeight="15" x14ac:dyDescent="0.2"/>
  <cols>
    <col min="1" max="1" width="22.83203125" bestFit="1" customWidth="1"/>
    <col min="2" max="2" width="57" bestFit="1" customWidth="1"/>
    <col min="3" max="3" width="23.5" bestFit="1" customWidth="1"/>
    <col min="4" max="4" width="37.6640625" bestFit="1" customWidth="1"/>
    <col min="5" max="5" width="40" bestFit="1" customWidth="1"/>
    <col min="6" max="6" width="40.33203125" bestFit="1" customWidth="1"/>
    <col min="7" max="8" width="46.5" bestFit="1" customWidth="1"/>
    <col min="9" max="9" width="46.6640625" bestFit="1" customWidth="1"/>
    <col min="19" max="19" width="18.5" bestFit="1" customWidth="1"/>
    <col min="20" max="20" width="21.83203125" bestFit="1" customWidth="1"/>
  </cols>
  <sheetData>
    <row r="1" spans="1:9" ht="16" x14ac:dyDescent="0.2">
      <c r="A1" s="51" t="s">
        <v>0</v>
      </c>
      <c r="B1" s="51"/>
      <c r="C1" s="51"/>
      <c r="D1" s="51"/>
      <c r="E1" s="51"/>
      <c r="F1" s="51"/>
      <c r="G1" s="51"/>
      <c r="H1" s="51"/>
      <c r="I1" s="51"/>
    </row>
    <row r="2" spans="1:9" x14ac:dyDescent="0.2">
      <c r="A2" s="2" t="s">
        <v>24</v>
      </c>
      <c r="B2" s="2" t="s">
        <v>167</v>
      </c>
      <c r="C2" s="2" t="s">
        <v>168</v>
      </c>
      <c r="D2" s="2" t="s">
        <v>169</v>
      </c>
      <c r="E2" s="2" t="s">
        <v>170</v>
      </c>
      <c r="F2" s="2" t="s">
        <v>171</v>
      </c>
      <c r="G2" s="2" t="s">
        <v>172</v>
      </c>
      <c r="H2" s="2" t="s">
        <v>173</v>
      </c>
      <c r="I2" s="2" t="s">
        <v>174</v>
      </c>
    </row>
    <row r="3" spans="1:9" x14ac:dyDescent="0.2">
      <c r="A3" s="3" t="s">
        <v>25</v>
      </c>
      <c r="B3" s="3" t="s">
        <v>26</v>
      </c>
      <c r="C3" s="3" t="s">
        <v>27</v>
      </c>
      <c r="D3" s="3" t="s">
        <v>28</v>
      </c>
      <c r="E3" s="3" t="s">
        <v>28</v>
      </c>
      <c r="F3" s="3" t="s">
        <v>28</v>
      </c>
      <c r="G3" s="3" t="s">
        <v>28</v>
      </c>
      <c r="H3" s="3" t="s">
        <v>28</v>
      </c>
      <c r="I3" s="3" t="s">
        <v>28</v>
      </c>
    </row>
    <row r="4" spans="1:9" ht="16" x14ac:dyDescent="0.2">
      <c r="A4" s="33" t="s">
        <v>36</v>
      </c>
      <c r="B4" t="s">
        <v>175</v>
      </c>
      <c r="C4" t="s">
        <v>176</v>
      </c>
      <c r="D4" s="34">
        <v>25000</v>
      </c>
      <c r="E4" s="34">
        <v>7.8</v>
      </c>
      <c r="F4" s="34">
        <v>7.1</v>
      </c>
      <c r="G4" s="46">
        <v>-1</v>
      </c>
      <c r="H4" s="46">
        <v>-1</v>
      </c>
      <c r="I4" s="46">
        <v>-1</v>
      </c>
    </row>
    <row r="5" spans="1:9" ht="16" x14ac:dyDescent="0.2">
      <c r="A5" s="33" t="s">
        <v>42</v>
      </c>
      <c r="B5" t="s">
        <v>177</v>
      </c>
      <c r="C5" t="s">
        <v>178</v>
      </c>
      <c r="D5" s="46">
        <v>-1</v>
      </c>
      <c r="E5" s="34">
        <v>7.2119998931884703</v>
      </c>
      <c r="F5" s="34">
        <v>7.2350001335143999</v>
      </c>
      <c r="G5" s="46">
        <v>-1</v>
      </c>
      <c r="H5" s="46">
        <v>-1</v>
      </c>
      <c r="I5" s="46">
        <v>-1</v>
      </c>
    </row>
    <row r="6" spans="1:9" ht="16" x14ac:dyDescent="0.2">
      <c r="A6" s="33" t="s">
        <v>56</v>
      </c>
      <c r="B6" t="s">
        <v>179</v>
      </c>
      <c r="C6" t="s">
        <v>180</v>
      </c>
      <c r="D6" s="46">
        <v>-1</v>
      </c>
      <c r="E6" s="34">
        <v>13.052418207813499</v>
      </c>
      <c r="F6" s="34">
        <v>12.2580899843124</v>
      </c>
      <c r="G6" s="46">
        <v>-1</v>
      </c>
      <c r="H6" s="46">
        <v>-1</v>
      </c>
      <c r="I6" s="34">
        <v>737.4</v>
      </c>
    </row>
    <row r="8" spans="1:9" x14ac:dyDescent="0.2">
      <c r="C8" s="20"/>
      <c r="D8" s="20"/>
      <c r="E8" s="20"/>
    </row>
    <row r="10" spans="1:9" x14ac:dyDescent="0.2">
      <c r="A10" s="33"/>
    </row>
    <row r="11" spans="1:9" ht="16" x14ac:dyDescent="0.2">
      <c r="A11" s="21"/>
    </row>
    <row r="12" spans="1:9" ht="16" x14ac:dyDescent="0.2">
      <c r="A12" s="22"/>
    </row>
    <row r="13" spans="1:9" ht="16" x14ac:dyDescent="0.2">
      <c r="A13" s="38"/>
    </row>
    <row r="14" spans="1:9" ht="16" x14ac:dyDescent="0.2">
      <c r="A14" s="1"/>
    </row>
  </sheetData>
  <mergeCells count="1">
    <mergeCell ref="A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A0BD-465C-48D4-B573-2278F891EFB5}">
  <dimension ref="A1:AF20"/>
  <sheetViews>
    <sheetView zoomScale="90" zoomScaleNormal="90" workbookViewId="0">
      <selection activeCell="H42" sqref="H42"/>
    </sheetView>
  </sheetViews>
  <sheetFormatPr baseColWidth="10" defaultColWidth="8.83203125" defaultRowHeight="15" x14ac:dyDescent="0.2"/>
  <cols>
    <col min="1" max="1" width="25.33203125" bestFit="1" customWidth="1"/>
    <col min="2" max="2" width="47.33203125" bestFit="1" customWidth="1"/>
    <col min="3" max="3" width="43" bestFit="1" customWidth="1"/>
    <col min="4" max="4" width="41.6640625" bestFit="1" customWidth="1"/>
    <col min="5" max="5" width="49.83203125" bestFit="1" customWidth="1"/>
    <col min="6" max="6" width="39.6640625" bestFit="1" customWidth="1"/>
    <col min="7" max="8" width="51.33203125" bestFit="1" customWidth="1"/>
    <col min="9" max="10" width="51.33203125" customWidth="1"/>
    <col min="11" max="11" width="54.6640625" bestFit="1" customWidth="1"/>
    <col min="12" max="12" width="55.83203125" bestFit="1" customWidth="1"/>
    <col min="13" max="17" width="51.33203125" customWidth="1"/>
    <col min="18" max="18" width="51.33203125" bestFit="1" customWidth="1"/>
  </cols>
  <sheetData>
    <row r="1" spans="1:18" ht="16" x14ac:dyDescent="0.2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 x14ac:dyDescent="0.2">
      <c r="A2" s="2" t="s">
        <v>181</v>
      </c>
      <c r="B2" s="2" t="s">
        <v>182</v>
      </c>
      <c r="C2" s="2" t="s">
        <v>183</v>
      </c>
      <c r="D2" s="2" t="s">
        <v>184</v>
      </c>
      <c r="E2" s="2" t="s">
        <v>185</v>
      </c>
      <c r="F2" s="2" t="s">
        <v>186</v>
      </c>
      <c r="G2" s="2" t="s">
        <v>187</v>
      </c>
      <c r="H2" s="2" t="s">
        <v>188</v>
      </c>
      <c r="I2" s="2" t="s">
        <v>189</v>
      </c>
      <c r="J2" s="2" t="s">
        <v>190</v>
      </c>
      <c r="K2" s="2" t="s">
        <v>191</v>
      </c>
      <c r="L2" s="2" t="s">
        <v>192</v>
      </c>
      <c r="M2" s="2" t="s">
        <v>193</v>
      </c>
      <c r="N2" s="2" t="s">
        <v>194</v>
      </c>
      <c r="O2" s="2" t="s">
        <v>195</v>
      </c>
      <c r="P2" s="2" t="s">
        <v>196</v>
      </c>
      <c r="Q2" s="2" t="s">
        <v>197</v>
      </c>
      <c r="R2" s="2" t="s">
        <v>198</v>
      </c>
    </row>
    <row r="3" spans="1:18" x14ac:dyDescent="0.2">
      <c r="A3" s="3" t="s">
        <v>25</v>
      </c>
      <c r="B3" s="3" t="s">
        <v>26</v>
      </c>
      <c r="C3" s="3" t="s">
        <v>27</v>
      </c>
      <c r="D3" s="3" t="s">
        <v>28</v>
      </c>
      <c r="E3" s="3" t="s">
        <v>28</v>
      </c>
      <c r="F3" s="3" t="s">
        <v>29</v>
      </c>
      <c r="G3" s="3" t="s">
        <v>28</v>
      </c>
      <c r="H3" s="3" t="s">
        <v>28</v>
      </c>
      <c r="I3" s="3" t="s">
        <v>28</v>
      </c>
      <c r="J3" s="3" t="s">
        <v>28</v>
      </c>
      <c r="K3" s="3" t="s">
        <v>28</v>
      </c>
      <c r="L3" s="3" t="s">
        <v>28</v>
      </c>
      <c r="M3" s="3" t="s">
        <v>28</v>
      </c>
      <c r="N3" s="3" t="s">
        <v>28</v>
      </c>
      <c r="O3" s="3" t="s">
        <v>29</v>
      </c>
      <c r="P3" s="3" t="s">
        <v>28</v>
      </c>
      <c r="Q3" s="3" t="s">
        <v>28</v>
      </c>
      <c r="R3" s="3" t="s">
        <v>29</v>
      </c>
    </row>
    <row r="4" spans="1:18" ht="16" x14ac:dyDescent="0.2">
      <c r="A4" t="s">
        <v>199</v>
      </c>
      <c r="B4" t="s">
        <v>200</v>
      </c>
      <c r="C4" t="s">
        <v>201</v>
      </c>
      <c r="D4" s="32">
        <v>440</v>
      </c>
      <c r="E4" s="32"/>
      <c r="F4" s="46">
        <v>-1</v>
      </c>
      <c r="G4" s="46">
        <v>-1</v>
      </c>
      <c r="H4" s="46">
        <v>-1</v>
      </c>
      <c r="I4" s="46">
        <v>-1</v>
      </c>
      <c r="J4" s="46">
        <v>-1</v>
      </c>
      <c r="K4" s="46">
        <v>-1</v>
      </c>
      <c r="L4" s="46">
        <v>-1</v>
      </c>
      <c r="M4" s="46">
        <v>-1</v>
      </c>
      <c r="N4" s="46">
        <v>-1</v>
      </c>
      <c r="O4" s="46">
        <v>-1</v>
      </c>
      <c r="P4" s="46">
        <v>-1</v>
      </c>
      <c r="Q4" s="46">
        <v>-1</v>
      </c>
      <c r="R4" s="46">
        <v>-1</v>
      </c>
    </row>
    <row r="5" spans="1:18" ht="16" x14ac:dyDescent="0.2">
      <c r="A5" t="s">
        <v>202</v>
      </c>
      <c r="B5" t="s">
        <v>203</v>
      </c>
      <c r="C5" t="s">
        <v>201</v>
      </c>
      <c r="D5" s="32">
        <v>500</v>
      </c>
      <c r="E5" s="32">
        <v>1800</v>
      </c>
      <c r="F5" s="46">
        <v>-1</v>
      </c>
      <c r="G5" s="46">
        <v>-1</v>
      </c>
      <c r="H5" s="46">
        <v>-1</v>
      </c>
      <c r="I5" s="46">
        <v>-1</v>
      </c>
      <c r="J5" s="46">
        <v>-1</v>
      </c>
      <c r="K5" s="46">
        <v>-1</v>
      </c>
      <c r="L5" s="46">
        <v>-1</v>
      </c>
      <c r="M5" s="46">
        <v>-1</v>
      </c>
      <c r="N5" s="46">
        <v>-1</v>
      </c>
      <c r="O5" s="46">
        <v>-1</v>
      </c>
      <c r="P5" s="46">
        <v>-1</v>
      </c>
      <c r="Q5" s="46">
        <v>-1</v>
      </c>
      <c r="R5" s="46">
        <v>-1</v>
      </c>
    </row>
    <row r="6" spans="1:18" ht="16" x14ac:dyDescent="0.2">
      <c r="A6" t="s">
        <v>204</v>
      </c>
      <c r="B6" t="s">
        <v>205</v>
      </c>
      <c r="C6" t="s">
        <v>201</v>
      </c>
      <c r="D6" s="46">
        <v>-1</v>
      </c>
      <c r="E6" s="46">
        <v>-1</v>
      </c>
      <c r="F6" s="35" t="s">
        <v>53</v>
      </c>
      <c r="G6" s="46">
        <v>-1</v>
      </c>
      <c r="H6" s="46">
        <v>-1</v>
      </c>
      <c r="I6" s="32">
        <v>24.62</v>
      </c>
      <c r="J6" s="46">
        <v>-1</v>
      </c>
      <c r="K6" s="46">
        <v>-1</v>
      </c>
      <c r="L6" s="46">
        <v>-1</v>
      </c>
      <c r="M6" s="46">
        <v>-1</v>
      </c>
      <c r="N6" s="46">
        <v>-1</v>
      </c>
      <c r="O6" s="46">
        <v>-1</v>
      </c>
      <c r="P6" s="46">
        <v>-1</v>
      </c>
      <c r="Q6" s="46">
        <v>-1</v>
      </c>
      <c r="R6" s="46">
        <v>-1</v>
      </c>
    </row>
    <row r="7" spans="1:18" ht="16" x14ac:dyDescent="0.2">
      <c r="A7" t="s">
        <v>206</v>
      </c>
      <c r="B7" t="s">
        <v>207</v>
      </c>
      <c r="C7" t="s">
        <v>208</v>
      </c>
      <c r="D7" s="32">
        <v>1100</v>
      </c>
      <c r="E7" s="46">
        <v>-1</v>
      </c>
      <c r="F7" s="46">
        <v>-1</v>
      </c>
      <c r="G7" s="46">
        <v>-1</v>
      </c>
      <c r="H7" s="46">
        <v>-1</v>
      </c>
      <c r="I7" s="46">
        <v>-1</v>
      </c>
      <c r="J7" s="46">
        <v>-1</v>
      </c>
      <c r="K7" s="46">
        <v>-1</v>
      </c>
      <c r="L7" s="46">
        <v>-1</v>
      </c>
      <c r="M7" s="46">
        <v>-1</v>
      </c>
      <c r="N7" s="46">
        <v>-1</v>
      </c>
      <c r="O7" s="46">
        <v>-1</v>
      </c>
      <c r="P7" s="46">
        <v>-1</v>
      </c>
      <c r="Q7" s="46">
        <v>-1</v>
      </c>
      <c r="R7" s="46">
        <v>-1</v>
      </c>
    </row>
    <row r="8" spans="1:18" ht="16" x14ac:dyDescent="0.2">
      <c r="A8" t="s">
        <v>209</v>
      </c>
      <c r="B8" t="s">
        <v>207</v>
      </c>
      <c r="C8" t="s">
        <v>208</v>
      </c>
      <c r="D8" s="32">
        <v>1100</v>
      </c>
      <c r="E8" s="46">
        <v>-1</v>
      </c>
      <c r="F8" s="46">
        <v>-1</v>
      </c>
      <c r="G8" s="46">
        <v>-1</v>
      </c>
      <c r="H8" s="46">
        <v>-1</v>
      </c>
      <c r="I8" s="46">
        <v>-1</v>
      </c>
      <c r="J8" s="46">
        <v>-1</v>
      </c>
      <c r="K8" s="46">
        <v>-1</v>
      </c>
      <c r="L8" s="46">
        <v>-1</v>
      </c>
      <c r="M8" s="46">
        <v>-1</v>
      </c>
      <c r="N8" s="46">
        <v>-1</v>
      </c>
      <c r="O8" s="46">
        <v>-1</v>
      </c>
      <c r="P8" s="46">
        <v>-1</v>
      </c>
      <c r="Q8" s="46">
        <v>-1</v>
      </c>
      <c r="R8" s="46">
        <v>-1</v>
      </c>
    </row>
    <row r="9" spans="1:18" ht="16" x14ac:dyDescent="0.2">
      <c r="A9" t="s">
        <v>210</v>
      </c>
      <c r="B9" t="s">
        <v>211</v>
      </c>
      <c r="C9" t="s">
        <v>208</v>
      </c>
      <c r="D9" s="32">
        <v>880</v>
      </c>
      <c r="E9" s="46">
        <v>-1</v>
      </c>
      <c r="F9" s="46">
        <v>-1</v>
      </c>
      <c r="G9" s="46">
        <v>-1</v>
      </c>
      <c r="H9" s="46">
        <v>-1</v>
      </c>
      <c r="I9" s="46">
        <v>-1</v>
      </c>
      <c r="J9" s="46">
        <v>-1</v>
      </c>
      <c r="K9" s="46">
        <v>-1</v>
      </c>
      <c r="L9" s="46">
        <v>-1</v>
      </c>
      <c r="M9" s="46">
        <v>-1</v>
      </c>
      <c r="N9" s="46">
        <v>-1</v>
      </c>
      <c r="O9" s="46">
        <v>-1</v>
      </c>
      <c r="P9" s="46">
        <v>-1</v>
      </c>
      <c r="Q9" s="46">
        <v>-1</v>
      </c>
      <c r="R9" s="46">
        <v>-1</v>
      </c>
    </row>
    <row r="10" spans="1:18" ht="16" x14ac:dyDescent="0.2">
      <c r="A10" t="s">
        <v>41</v>
      </c>
      <c r="B10" t="s">
        <v>212</v>
      </c>
      <c r="C10" t="s">
        <v>213</v>
      </c>
      <c r="D10" s="32">
        <v>2400</v>
      </c>
      <c r="E10" s="32">
        <v>1800</v>
      </c>
      <c r="F10" s="46">
        <v>-1</v>
      </c>
      <c r="G10" s="46">
        <v>-1</v>
      </c>
      <c r="H10" s="46">
        <v>-1</v>
      </c>
      <c r="I10" s="46">
        <v>-1</v>
      </c>
      <c r="J10" s="46">
        <v>-1</v>
      </c>
      <c r="K10" s="46">
        <v>-1</v>
      </c>
      <c r="L10" s="46">
        <v>-1</v>
      </c>
      <c r="M10" s="46">
        <v>-1</v>
      </c>
      <c r="N10" s="46">
        <v>-1</v>
      </c>
      <c r="O10" s="46">
        <v>-1</v>
      </c>
      <c r="P10" s="46">
        <v>-1</v>
      </c>
      <c r="Q10" s="46">
        <v>-1</v>
      </c>
      <c r="R10" s="46">
        <v>-1</v>
      </c>
    </row>
    <row r="11" spans="1:18" ht="16" x14ac:dyDescent="0.2">
      <c r="A11" t="s">
        <v>48</v>
      </c>
      <c r="B11" t="s">
        <v>212</v>
      </c>
      <c r="C11" t="s">
        <v>213</v>
      </c>
      <c r="D11" s="32">
        <v>2400</v>
      </c>
      <c r="E11" s="32">
        <v>1800</v>
      </c>
      <c r="F11" s="46">
        <v>-1</v>
      </c>
      <c r="G11" s="46">
        <v>-1</v>
      </c>
      <c r="H11" s="46">
        <v>-1</v>
      </c>
      <c r="I11" s="46">
        <v>-1</v>
      </c>
      <c r="J11" s="46">
        <v>-1</v>
      </c>
      <c r="K11" s="46">
        <v>-1</v>
      </c>
      <c r="L11" s="46">
        <v>-1</v>
      </c>
      <c r="M11" s="46">
        <v>-1</v>
      </c>
      <c r="N11" s="46">
        <v>-1</v>
      </c>
      <c r="O11" s="46">
        <v>-1</v>
      </c>
      <c r="P11" s="46">
        <v>-1</v>
      </c>
      <c r="Q11" s="46">
        <v>-1</v>
      </c>
      <c r="R11" s="46">
        <v>-1</v>
      </c>
    </row>
    <row r="12" spans="1:18" ht="16" x14ac:dyDescent="0.2">
      <c r="A12" t="s">
        <v>214</v>
      </c>
      <c r="B12" t="s">
        <v>215</v>
      </c>
      <c r="C12" t="s">
        <v>216</v>
      </c>
      <c r="D12" s="46">
        <v>-1</v>
      </c>
      <c r="E12" s="46">
        <v>-1</v>
      </c>
      <c r="F12" s="46">
        <v>-1</v>
      </c>
      <c r="G12" s="46">
        <v>-1</v>
      </c>
      <c r="H12" s="46">
        <v>-1</v>
      </c>
      <c r="I12" s="46">
        <v>-1</v>
      </c>
      <c r="J12" s="32">
        <v>725.63465776830105</v>
      </c>
      <c r="K12" s="56">
        <v>48.386827138502603</v>
      </c>
      <c r="L12" s="56">
        <v>47.8991030026069</v>
      </c>
      <c r="M12" s="56">
        <v>2432.8766284775702</v>
      </c>
      <c r="N12" s="56">
        <v>3207.2979132471401</v>
      </c>
      <c r="O12" s="56" t="s">
        <v>53</v>
      </c>
      <c r="P12" s="56">
        <v>44.161984645809099</v>
      </c>
      <c r="Q12" s="56">
        <v>1184.7214122871101</v>
      </c>
      <c r="R12" s="56" t="s">
        <v>53</v>
      </c>
    </row>
    <row r="13" spans="1:18" ht="16" x14ac:dyDescent="0.2">
      <c r="A13" t="s">
        <v>217</v>
      </c>
      <c r="B13" t="s">
        <v>215</v>
      </c>
      <c r="C13" t="s">
        <v>216</v>
      </c>
      <c r="D13" s="46">
        <v>-1</v>
      </c>
      <c r="E13" s="46">
        <v>-1</v>
      </c>
      <c r="F13" s="46">
        <v>-1</v>
      </c>
      <c r="G13" s="46">
        <v>-1</v>
      </c>
      <c r="H13" s="46">
        <v>-1</v>
      </c>
      <c r="I13" s="46">
        <v>-1</v>
      </c>
      <c r="J13" s="32">
        <v>919.726001705165</v>
      </c>
      <c r="K13" s="56"/>
      <c r="L13" s="56"/>
      <c r="M13" s="56"/>
      <c r="N13" s="56"/>
      <c r="O13" s="56"/>
      <c r="P13" s="56"/>
      <c r="Q13" s="56"/>
      <c r="R13" s="56"/>
    </row>
    <row r="14" spans="1:18" ht="16" x14ac:dyDescent="0.2">
      <c r="A14" t="s">
        <v>55</v>
      </c>
      <c r="B14" t="s">
        <v>218</v>
      </c>
      <c r="C14" t="s">
        <v>216</v>
      </c>
      <c r="D14" s="46">
        <v>-1</v>
      </c>
      <c r="E14" s="46">
        <v>-1</v>
      </c>
      <c r="F14" s="46">
        <v>-1</v>
      </c>
      <c r="G14" s="46">
        <v>-1</v>
      </c>
      <c r="H14" s="46">
        <v>-1</v>
      </c>
      <c r="I14" s="46">
        <v>-1</v>
      </c>
      <c r="J14" s="32">
        <v>1889.84828485347</v>
      </c>
      <c r="K14" s="46">
        <v>-1</v>
      </c>
      <c r="L14" s="32">
        <v>44.794727931881503</v>
      </c>
      <c r="M14" s="46">
        <v>-1</v>
      </c>
      <c r="N14" s="46">
        <v>-1</v>
      </c>
      <c r="O14" s="35" t="s">
        <v>53</v>
      </c>
      <c r="P14" s="32">
        <v>46.722036402381299</v>
      </c>
      <c r="Q14" s="46">
        <v>-1</v>
      </c>
      <c r="R14" s="35" t="s">
        <v>53</v>
      </c>
    </row>
    <row r="15" spans="1:18" x14ac:dyDescent="0.2"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</row>
    <row r="16" spans="1:18" x14ac:dyDescent="0.2"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20" spans="30:32" x14ac:dyDescent="0.2">
      <c r="AD20" s="23"/>
      <c r="AE20" s="23"/>
      <c r="AF20" s="23"/>
    </row>
  </sheetData>
  <mergeCells count="9">
    <mergeCell ref="P12:P13"/>
    <mergeCell ref="Q12:Q13"/>
    <mergeCell ref="A1:R1"/>
    <mergeCell ref="K12:K13"/>
    <mergeCell ref="L12:L13"/>
    <mergeCell ref="M12:M13"/>
    <mergeCell ref="N12:N13"/>
    <mergeCell ref="O12:O13"/>
    <mergeCell ref="R12:R13"/>
  </mergeCells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A744D-46E9-456C-A2E2-638C3E9AF0C9}">
  <dimension ref="A1:AI6"/>
  <sheetViews>
    <sheetView zoomScaleNormal="100" workbookViewId="0">
      <selection activeCell="A2" sqref="A2"/>
    </sheetView>
  </sheetViews>
  <sheetFormatPr baseColWidth="10" defaultColWidth="9.1640625" defaultRowHeight="16" x14ac:dyDescent="0.2"/>
  <cols>
    <col min="1" max="1" width="18.83203125" style="1" bestFit="1" customWidth="1"/>
    <col min="2" max="2" width="22.33203125" style="1" bestFit="1" customWidth="1"/>
    <col min="3" max="3" width="28.33203125" style="1" bestFit="1" customWidth="1"/>
    <col min="4" max="4" width="30.5" style="1" bestFit="1" customWidth="1"/>
    <col min="5" max="5" width="36.5" style="1" bestFit="1" customWidth="1"/>
    <col min="6" max="6" width="35.1640625" style="1" bestFit="1" customWidth="1"/>
    <col min="7" max="7" width="33.5" style="1" bestFit="1" customWidth="1"/>
    <col min="8" max="18" width="33.5" style="1" customWidth="1"/>
    <col min="19" max="19" width="8.83203125" style="1" bestFit="1" customWidth="1"/>
    <col min="20" max="21" width="21.1640625" style="1" bestFit="1" customWidth="1"/>
    <col min="22" max="22" width="23.33203125" style="1" bestFit="1" customWidth="1"/>
    <col min="23" max="23" width="26.6640625" style="1" bestFit="1" customWidth="1"/>
    <col min="24" max="30" width="9.1640625" style="1"/>
    <col min="31" max="31" width="1" style="1" customWidth="1"/>
    <col min="32" max="32" width="31.6640625" style="1" customWidth="1"/>
    <col min="33" max="33" width="28" style="1" customWidth="1"/>
    <col min="34" max="34" width="31.33203125" style="1" customWidth="1"/>
    <col min="35" max="35" width="21.5" style="1" customWidth="1"/>
    <col min="36" max="16384" width="9.1640625" style="1"/>
  </cols>
  <sheetData>
    <row r="1" spans="1:35" x14ac:dyDescent="0.2">
      <c r="A1" s="4"/>
      <c r="B1" s="4"/>
      <c r="C1" s="4"/>
      <c r="D1" s="6" t="s">
        <v>219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Y1" s="9"/>
      <c r="Z1" s="9"/>
      <c r="AF1" s="7"/>
      <c r="AG1" s="7"/>
      <c r="AH1" s="7" t="s">
        <v>1</v>
      </c>
      <c r="AI1" s="7"/>
    </row>
    <row r="2" spans="1:35" x14ac:dyDescent="0.2">
      <c r="A2" s="2" t="s">
        <v>20</v>
      </c>
      <c r="B2" s="2" t="s">
        <v>220</v>
      </c>
      <c r="C2" s="5" t="s">
        <v>221</v>
      </c>
      <c r="D2" s="5" t="s">
        <v>222</v>
      </c>
      <c r="E2" s="5" t="s">
        <v>223</v>
      </c>
      <c r="F2" s="5" t="s">
        <v>224</v>
      </c>
      <c r="G2" s="5" t="s">
        <v>225</v>
      </c>
      <c r="H2" s="5" t="s">
        <v>226</v>
      </c>
      <c r="I2" s="5" t="s">
        <v>227</v>
      </c>
      <c r="J2" s="5" t="s">
        <v>228</v>
      </c>
      <c r="K2" s="5" t="s">
        <v>229</v>
      </c>
      <c r="L2" s="5" t="s">
        <v>230</v>
      </c>
      <c r="M2" s="5" t="s">
        <v>231</v>
      </c>
      <c r="N2" s="5" t="s">
        <v>232</v>
      </c>
      <c r="O2" s="5" t="s">
        <v>233</v>
      </c>
      <c r="P2" s="5" t="s">
        <v>234</v>
      </c>
      <c r="Q2" s="5" t="s">
        <v>17</v>
      </c>
      <c r="R2" s="5" t="s">
        <v>235</v>
      </c>
      <c r="S2" s="5" t="s">
        <v>236</v>
      </c>
      <c r="AF2" s="7" t="s">
        <v>237</v>
      </c>
      <c r="AG2" s="7" t="s">
        <v>238</v>
      </c>
      <c r="AH2" s="7" t="s">
        <v>239</v>
      </c>
      <c r="AI2" s="7" t="s">
        <v>236</v>
      </c>
    </row>
    <row r="3" spans="1:35" x14ac:dyDescent="0.2">
      <c r="A3" s="3" t="s">
        <v>25</v>
      </c>
      <c r="B3" s="3" t="s">
        <v>26</v>
      </c>
      <c r="C3" s="3" t="s">
        <v>28</v>
      </c>
      <c r="D3" s="3" t="s">
        <v>28</v>
      </c>
      <c r="E3" s="3" t="s">
        <v>28</v>
      </c>
      <c r="F3" s="3" t="s">
        <v>28</v>
      </c>
      <c r="G3" s="3" t="s">
        <v>28</v>
      </c>
      <c r="H3" s="3" t="s">
        <v>28</v>
      </c>
      <c r="I3" s="3" t="s">
        <v>28</v>
      </c>
      <c r="J3" s="3" t="s">
        <v>28</v>
      </c>
      <c r="K3" s="3" t="s">
        <v>28</v>
      </c>
      <c r="L3" s="3" t="s">
        <v>28</v>
      </c>
      <c r="M3" s="3" t="s">
        <v>28</v>
      </c>
      <c r="N3" s="3" t="s">
        <v>28</v>
      </c>
      <c r="O3" s="3" t="s">
        <v>28</v>
      </c>
      <c r="P3" s="3" t="s">
        <v>28</v>
      </c>
      <c r="Q3" s="3" t="s">
        <v>29</v>
      </c>
      <c r="R3" s="3" t="s">
        <v>29</v>
      </c>
      <c r="S3" s="3"/>
      <c r="AF3" s="8" t="s">
        <v>30</v>
      </c>
      <c r="AG3" s="8" t="s">
        <v>30</v>
      </c>
      <c r="AH3" s="8" t="s">
        <v>30</v>
      </c>
      <c r="AI3" s="8"/>
    </row>
    <row r="4" spans="1:35" ht="34" x14ac:dyDescent="0.2">
      <c r="A4" s="1">
        <v>1</v>
      </c>
      <c r="B4" s="1" t="s">
        <v>240</v>
      </c>
      <c r="C4" s="11" t="s">
        <v>241</v>
      </c>
      <c r="D4" s="11" t="s">
        <v>242</v>
      </c>
      <c r="E4" s="11" t="s">
        <v>243</v>
      </c>
      <c r="O4" s="1" t="s">
        <v>244</v>
      </c>
      <c r="AF4" s="1">
        <v>1</v>
      </c>
      <c r="AH4" s="1">
        <v>1.1000000000000001</v>
      </c>
    </row>
    <row r="5" spans="1:35" ht="68" x14ac:dyDescent="0.2">
      <c r="A5" s="1">
        <v>2</v>
      </c>
      <c r="B5" s="1" t="s">
        <v>245</v>
      </c>
      <c r="C5" s="1" t="s">
        <v>246</v>
      </c>
      <c r="D5" s="1" t="s">
        <v>247</v>
      </c>
      <c r="E5" s="1" t="s">
        <v>248</v>
      </c>
      <c r="G5" s="11" t="s">
        <v>249</v>
      </c>
      <c r="H5" s="1" t="s">
        <v>250</v>
      </c>
      <c r="J5" s="1" t="s">
        <v>251</v>
      </c>
      <c r="L5" s="1" t="s">
        <v>252</v>
      </c>
      <c r="M5" s="1" t="s">
        <v>253</v>
      </c>
      <c r="N5" s="1" t="s">
        <v>254</v>
      </c>
      <c r="P5" s="1" t="s">
        <v>255</v>
      </c>
      <c r="Q5" s="1" t="s">
        <v>256</v>
      </c>
      <c r="R5" s="1" t="s">
        <v>257</v>
      </c>
      <c r="AF5" s="1">
        <v>2</v>
      </c>
      <c r="AH5" s="1">
        <v>2.1</v>
      </c>
    </row>
    <row r="6" spans="1:35" ht="68" x14ac:dyDescent="0.2">
      <c r="A6" s="1">
        <v>3</v>
      </c>
      <c r="B6" s="10" t="s">
        <v>258</v>
      </c>
      <c r="C6" s="1" t="s">
        <v>259</v>
      </c>
      <c r="D6" s="1" t="s">
        <v>260</v>
      </c>
      <c r="E6" s="1" t="s">
        <v>261</v>
      </c>
      <c r="F6" s="1" t="s">
        <v>262</v>
      </c>
      <c r="G6" s="11" t="s">
        <v>263</v>
      </c>
      <c r="H6" s="1" t="s">
        <v>264</v>
      </c>
      <c r="I6" s="1" t="s">
        <v>265</v>
      </c>
      <c r="K6" s="1" t="s">
        <v>266</v>
      </c>
      <c r="AF6" s="1">
        <v>3</v>
      </c>
      <c r="AH6" s="1">
        <v>3.1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DE019-5AC4-42D9-A5BC-D2F2F0042CD9}">
  <dimension ref="A1:Y6"/>
  <sheetViews>
    <sheetView topLeftCell="H1" workbookViewId="0">
      <selection activeCell="O4" sqref="O4"/>
    </sheetView>
  </sheetViews>
  <sheetFormatPr baseColWidth="10" defaultColWidth="9.1640625" defaultRowHeight="16" x14ac:dyDescent="0.2"/>
  <cols>
    <col min="1" max="1" width="20.1640625" style="1" bestFit="1" customWidth="1"/>
    <col min="2" max="2" width="23.83203125" style="1" bestFit="1" customWidth="1"/>
    <col min="3" max="3" width="28.33203125" style="1" bestFit="1" customWidth="1"/>
    <col min="4" max="4" width="30.5" style="1" bestFit="1" customWidth="1"/>
    <col min="5" max="5" width="36.5" style="1" bestFit="1" customWidth="1"/>
    <col min="6" max="6" width="37.5" style="1" bestFit="1" customWidth="1"/>
    <col min="7" max="7" width="49.33203125" style="1" bestFit="1" customWidth="1"/>
    <col min="8" max="8" width="42.5" style="1" bestFit="1" customWidth="1"/>
    <col min="9" max="9" width="40.33203125" style="1" bestFit="1" customWidth="1"/>
    <col min="10" max="10" width="33.5" style="1" customWidth="1"/>
    <col min="11" max="11" width="38.83203125" style="1" bestFit="1" customWidth="1"/>
    <col min="12" max="12" width="45.5" style="1" bestFit="1" customWidth="1"/>
    <col min="13" max="13" width="48.83203125" style="1" bestFit="1" customWidth="1"/>
    <col min="14" max="15" width="33.5" style="1" customWidth="1"/>
    <col min="16" max="16" width="8.83203125" style="1" bestFit="1" customWidth="1"/>
    <col min="17" max="17" width="19.5" style="1" customWidth="1"/>
    <col min="18" max="18" width="21.1640625" style="1" bestFit="1" customWidth="1"/>
    <col min="19" max="19" width="23.33203125" style="1" bestFit="1" customWidth="1"/>
    <col min="20" max="20" width="26.6640625" style="1" bestFit="1" customWidth="1"/>
    <col min="21" max="21" width="16.5" style="1" customWidth="1"/>
    <col min="22" max="22" width="15.5" style="1" customWidth="1"/>
    <col min="23" max="23" width="16.6640625" style="1" customWidth="1"/>
    <col min="24" max="24" width="17" style="1" customWidth="1"/>
    <col min="25" max="25" width="18.6640625" style="1" customWidth="1"/>
    <col min="26" max="27" width="9.1640625" style="1"/>
    <col min="28" max="28" width="1" style="1" customWidth="1"/>
    <col min="29" max="16384" width="9.1640625" style="1"/>
  </cols>
  <sheetData>
    <row r="1" spans="1:25" x14ac:dyDescent="0.2">
      <c r="A1" s="4"/>
      <c r="B1" s="4"/>
      <c r="C1" s="4"/>
      <c r="D1" s="6" t="s">
        <v>219</v>
      </c>
      <c r="E1" s="4"/>
      <c r="F1" s="12"/>
      <c r="G1" s="4"/>
      <c r="H1" s="4"/>
      <c r="I1" s="4"/>
      <c r="J1" s="4"/>
      <c r="K1" s="4"/>
      <c r="L1" s="4"/>
      <c r="M1" s="4"/>
      <c r="N1" s="4"/>
      <c r="O1" s="4"/>
      <c r="P1" s="4"/>
      <c r="R1" s="57" t="s">
        <v>1</v>
      </c>
      <c r="S1" s="57"/>
      <c r="T1" s="57"/>
      <c r="U1" s="57"/>
      <c r="V1" s="57"/>
      <c r="W1" s="57"/>
      <c r="X1" s="57"/>
      <c r="Y1" s="58"/>
    </row>
    <row r="2" spans="1:25" x14ac:dyDescent="0.2">
      <c r="A2" s="2" t="s">
        <v>20</v>
      </c>
      <c r="B2" s="2" t="s">
        <v>237</v>
      </c>
      <c r="C2" s="5" t="s">
        <v>267</v>
      </c>
      <c r="D2" s="5" t="s">
        <v>268</v>
      </c>
      <c r="E2" s="5" t="s">
        <v>269</v>
      </c>
      <c r="F2" s="13" t="s">
        <v>224</v>
      </c>
      <c r="G2" s="5" t="s">
        <v>270</v>
      </c>
      <c r="H2" s="5" t="s">
        <v>229</v>
      </c>
      <c r="I2" s="5" t="s">
        <v>227</v>
      </c>
      <c r="J2" s="5" t="s">
        <v>228</v>
      </c>
      <c r="K2" s="5" t="s">
        <v>230</v>
      </c>
      <c r="L2" s="5" t="s">
        <v>231</v>
      </c>
      <c r="M2" s="5" t="s">
        <v>232</v>
      </c>
      <c r="N2" s="5" t="s">
        <v>16</v>
      </c>
      <c r="O2" s="5" t="s">
        <v>271</v>
      </c>
      <c r="P2" s="5" t="s">
        <v>236</v>
      </c>
      <c r="R2" s="7" t="s">
        <v>237</v>
      </c>
      <c r="S2" s="16" t="s">
        <v>272</v>
      </c>
      <c r="T2" s="7" t="s">
        <v>273</v>
      </c>
      <c r="U2" s="7" t="s">
        <v>274</v>
      </c>
      <c r="V2" s="7" t="s">
        <v>275</v>
      </c>
      <c r="W2" s="7" t="s">
        <v>276</v>
      </c>
      <c r="X2" s="7" t="s">
        <v>277</v>
      </c>
      <c r="Y2" s="7" t="s">
        <v>278</v>
      </c>
    </row>
    <row r="3" spans="1:25" x14ac:dyDescent="0.2">
      <c r="A3" s="3" t="s">
        <v>25</v>
      </c>
      <c r="B3" s="3" t="s">
        <v>26</v>
      </c>
      <c r="C3" s="3" t="s">
        <v>28</v>
      </c>
      <c r="D3" s="3" t="s">
        <v>28</v>
      </c>
      <c r="E3" s="3" t="s">
        <v>28</v>
      </c>
      <c r="F3" s="14" t="s">
        <v>28</v>
      </c>
      <c r="G3" s="3" t="s">
        <v>28</v>
      </c>
      <c r="H3" s="3" t="s">
        <v>28</v>
      </c>
      <c r="I3" s="3" t="s">
        <v>28</v>
      </c>
      <c r="J3" s="3" t="s">
        <v>28</v>
      </c>
      <c r="K3" s="3" t="s">
        <v>28</v>
      </c>
      <c r="L3" s="3" t="s">
        <v>28</v>
      </c>
      <c r="M3" s="3" t="s">
        <v>28</v>
      </c>
      <c r="N3" s="3" t="s">
        <v>29</v>
      </c>
      <c r="O3" s="3" t="s">
        <v>29</v>
      </c>
      <c r="P3" s="3"/>
      <c r="R3" s="8" t="s">
        <v>30</v>
      </c>
      <c r="S3" s="17" t="s">
        <v>30</v>
      </c>
      <c r="T3" s="8" t="s">
        <v>30</v>
      </c>
      <c r="U3" s="8" t="s">
        <v>30</v>
      </c>
      <c r="V3" s="8" t="s">
        <v>30</v>
      </c>
      <c r="W3" s="8" t="s">
        <v>30</v>
      </c>
      <c r="X3" s="8" t="s">
        <v>30</v>
      </c>
      <c r="Y3" s="8" t="s">
        <v>279</v>
      </c>
    </row>
    <row r="4" spans="1:25" x14ac:dyDescent="0.2">
      <c r="A4" s="1" t="s">
        <v>280</v>
      </c>
      <c r="B4" s="1" t="s">
        <v>281</v>
      </c>
      <c r="C4" s="1" t="s">
        <v>282</v>
      </c>
      <c r="D4" s="1" t="s">
        <v>283</v>
      </c>
      <c r="E4" s="1" t="s">
        <v>284</v>
      </c>
      <c r="F4" s="15" t="s">
        <v>285</v>
      </c>
      <c r="G4" s="1" t="s">
        <v>286</v>
      </c>
      <c r="H4" s="1" t="s">
        <v>287</v>
      </c>
      <c r="I4" s="1" t="s">
        <v>288</v>
      </c>
      <c r="J4" s="1" t="s">
        <v>289</v>
      </c>
      <c r="K4" s="1" t="s">
        <v>290</v>
      </c>
      <c r="L4" s="1" t="s">
        <v>291</v>
      </c>
      <c r="M4" s="1" t="s">
        <v>292</v>
      </c>
      <c r="N4" s="1" t="s">
        <v>293</v>
      </c>
      <c r="O4" s="1" t="s">
        <v>294</v>
      </c>
      <c r="R4" s="1" t="s">
        <v>280</v>
      </c>
      <c r="S4" s="15" t="s">
        <v>295</v>
      </c>
      <c r="T4" s="1" t="s">
        <v>296</v>
      </c>
      <c r="U4" s="1" t="s">
        <v>297</v>
      </c>
      <c r="V4" s="1" t="s">
        <v>298</v>
      </c>
      <c r="W4" s="1" t="s">
        <v>299</v>
      </c>
      <c r="X4" s="1" t="s">
        <v>300</v>
      </c>
      <c r="Y4" s="1">
        <v>9235517</v>
      </c>
    </row>
    <row r="5" spans="1:25" x14ac:dyDescent="0.2">
      <c r="A5" s="1" t="s">
        <v>301</v>
      </c>
      <c r="B5" s="1" t="s">
        <v>302</v>
      </c>
      <c r="C5" s="1" t="s">
        <v>303</v>
      </c>
      <c r="F5" s="15"/>
      <c r="G5" s="1" t="s">
        <v>304</v>
      </c>
      <c r="H5" s="1" t="s">
        <v>305</v>
      </c>
      <c r="N5" s="1" t="s">
        <v>306</v>
      </c>
      <c r="R5" s="1" t="s">
        <v>301</v>
      </c>
      <c r="S5" s="15" t="s">
        <v>307</v>
      </c>
      <c r="T5" s="1" t="s">
        <v>308</v>
      </c>
      <c r="V5" s="1" t="s">
        <v>309</v>
      </c>
      <c r="Y5" s="1" t="s">
        <v>310</v>
      </c>
    </row>
    <row r="6" spans="1:25" x14ac:dyDescent="0.2">
      <c r="B6" s="10"/>
      <c r="V6" s="1" t="s">
        <v>311</v>
      </c>
      <c r="Y6" s="1" t="s">
        <v>312</v>
      </c>
    </row>
  </sheetData>
  <mergeCells count="1">
    <mergeCell ref="R1:Y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6CAFB388297D47A36D67BC502E6D0D" ma:contentTypeVersion="15" ma:contentTypeDescription="Create a new document." ma:contentTypeScope="" ma:versionID="d341561d33d26f96c0396dd5f1d24cd1">
  <xsd:schema xmlns:xsd="http://www.w3.org/2001/XMLSchema" xmlns:xs="http://www.w3.org/2001/XMLSchema" xmlns:p="http://schemas.microsoft.com/office/2006/metadata/properties" xmlns:ns2="cfb6f228-0993-416e-9b57-f06c213f4725" xmlns:ns3="9e891c6d-9980-464f-b235-4c221f0e1243" targetNamespace="http://schemas.microsoft.com/office/2006/metadata/properties" ma:root="true" ma:fieldsID="6ae9ea3b823b0612fae89a52fa9082cb" ns2:_="" ns3:_="">
    <xsd:import namespace="cfb6f228-0993-416e-9b57-f06c213f4725"/>
    <xsd:import namespace="9e891c6d-9980-464f-b235-4c221f0e124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6f228-0993-416e-9b57-f06c213f47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a916d09-11b3-44b5-b5f4-9aae0c201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91c6d-9980-464f-b235-4c221f0e124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351089f-6760-43e9-9e55-077fd2fe4f2f}" ma:internalName="TaxCatchAll" ma:showField="CatchAllData" ma:web="9e891c6d-9980-464f-b235-4c221f0e12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TemplafyTemplateConfiguration><![CDATA[{"transformationConfigurations":[],"templateName":"SINTEF-Blank spreadsheet","templateDescription":"","enableDocumentContentUpdater":false,"version":"2.0"}]]></TemplafyTemplateConfiguration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b6f228-0993-416e-9b57-f06c213f4725">
      <Terms xmlns="http://schemas.microsoft.com/office/infopath/2007/PartnerControls"/>
    </lcf76f155ced4ddcb4097134ff3c332f>
    <TaxCatchAll xmlns="9e891c6d-9980-464f-b235-4c221f0e1243" xsi:nil="true"/>
  </documentManagement>
</p:properties>
</file>

<file path=customXml/item5.xml><?xml version="1.0" encoding="utf-8"?>
<?mso-contentType ?>
<SharedContentType xmlns="Microsoft.SharePoint.Taxonomy.ContentTypeSync" SourceId="0a916d09-11b3-44b5-b5f4-9aae0c201370" ContentTypeId="0x0101" PreviousValue="false"/>
</file>

<file path=customXml/item6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BAD0AD31-472F-4C4A-BE4D-E5ED12B988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F1C383-2008-48DE-B8B1-BBF5294833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6f228-0993-416e-9b57-f06c213f4725"/>
    <ds:schemaRef ds:uri="9e891c6d-9980-464f-b235-4c221f0e12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EF91AC-9A48-4798-9A9B-96FF81E5CF8B}">
  <ds:schemaRefs/>
</ds:datastoreItem>
</file>

<file path=customXml/itemProps4.xml><?xml version="1.0" encoding="utf-8"?>
<ds:datastoreItem xmlns:ds="http://schemas.openxmlformats.org/officeDocument/2006/customXml" ds:itemID="{D661370D-736F-49EE-A9AE-F2098B8388F3}">
  <ds:schemaRefs>
    <ds:schemaRef ds:uri="http://schemas.microsoft.com/office/2006/metadata/properties"/>
    <ds:schemaRef ds:uri="http://schemas.microsoft.com/office/infopath/2007/PartnerControls"/>
    <ds:schemaRef ds:uri="cfb6f228-0993-416e-9b57-f06c213f4725"/>
    <ds:schemaRef ds:uri="9e891c6d-9980-464f-b235-4c221f0e1243"/>
  </ds:schemaRefs>
</ds:datastoreItem>
</file>

<file path=customXml/itemProps5.xml><?xml version="1.0" encoding="utf-8"?>
<ds:datastoreItem xmlns:ds="http://schemas.openxmlformats.org/officeDocument/2006/customXml" ds:itemID="{5EF8E3E8-1A21-46C9-8083-E809AC7CDE6A}">
  <ds:schemaRefs>
    <ds:schemaRef ds:uri="Microsoft.SharePoint.Taxonomy.ContentTypeSync"/>
  </ds:schemaRefs>
</ds:datastoreItem>
</file>

<file path=customXml/itemProps6.xml><?xml version="1.0" encoding="utf-8"?>
<ds:datastoreItem xmlns:ds="http://schemas.openxmlformats.org/officeDocument/2006/customXml" ds:itemID="{129FB90B-22C5-4FE6-9366-00B069FEE7D4}">
  <ds:schemaRefs/>
</ds:datastoreItem>
</file>

<file path=docMetadata/LabelInfo.xml><?xml version="1.0" encoding="utf-8"?>
<clbl:labelList xmlns:clbl="http://schemas.microsoft.com/office/2020/mipLabelMetadata">
  <clbl:label id="{e1f00f39-6041-45b0-b309-e0210d8b32af}" enabled="0" method="" siteId="{e1f00f39-6041-45b0-b309-e0210d8b32a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 ENGINE System</vt:lpstr>
      <vt:lpstr>AUXILIARY GENSET System</vt:lpstr>
      <vt:lpstr>FUEL System</vt:lpstr>
      <vt:lpstr>GEARBOX System</vt:lpstr>
      <vt:lpstr>PMS System</vt:lpstr>
      <vt:lpstr>PROPELLER System</vt:lpstr>
      <vt:lpstr>VESSEL System</vt:lpstr>
      <vt:lpstr>OTHER Systems</vt:lpstr>
      <vt:lpstr>ALL INFO</vt:lpstr>
      <vt:lpstr>Engine Parameters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Martin-Recuerda</dc:creator>
  <cp:keywords/>
  <dc:description/>
  <cp:lastModifiedBy>Erik Johan Nystad</cp:lastModifiedBy>
  <cp:revision/>
  <dcterms:created xsi:type="dcterms:W3CDTF">2024-08-22T09:38:40Z</dcterms:created>
  <dcterms:modified xsi:type="dcterms:W3CDTF">2026-02-06T15:19:35Z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sintef</vt:lpwstr>
  </property>
  <property fmtid="{D5CDD505-2E9C-101B-9397-08002B2CF9AE}" pid="3" name="TemplafyTemplateId">
    <vt:lpwstr>740326090642817258</vt:lpwstr>
  </property>
  <property fmtid="{D5CDD505-2E9C-101B-9397-08002B2CF9AE}" pid="4" name="TemplafyUserProfileId">
    <vt:lpwstr>901252673347256824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  <property fmtid="{D5CDD505-2E9C-101B-9397-08002B2CF9AE}" pid="7" name="_AdHocReviewCycleID">
    <vt:i4>1755389760</vt:i4>
  </property>
  <property fmtid="{D5CDD505-2E9C-101B-9397-08002B2CF9AE}" pid="8" name="_NewReviewCycle">
    <vt:lpwstr/>
  </property>
  <property fmtid="{D5CDD505-2E9C-101B-9397-08002B2CF9AE}" pid="9" name="_EmailSubject">
    <vt:lpwstr>KG Tool Discussion</vt:lpwstr>
  </property>
  <property fmtid="{D5CDD505-2E9C-101B-9397-08002B2CF9AE}" pid="10" name="_AuthorEmail">
    <vt:lpwstr>Francisco.Martin-Recuerda@sintef.no</vt:lpwstr>
  </property>
  <property fmtid="{D5CDD505-2E9C-101B-9397-08002B2CF9AE}" pid="11" name="_AuthorEmailDisplayName">
    <vt:lpwstr>Francisco Martin-Recuerda</vt:lpwstr>
  </property>
  <property fmtid="{D5CDD505-2E9C-101B-9397-08002B2CF9AE}" pid="12" name="_ReviewingToolsShownOnce">
    <vt:lpwstr/>
  </property>
  <property fmtid="{D5CDD505-2E9C-101B-9397-08002B2CF9AE}" pid="13" name="ContentTypeId">
    <vt:lpwstr>0x010100766CAFB388297D47A36D67BC502E6D0D</vt:lpwstr>
  </property>
  <property fmtid="{D5CDD505-2E9C-101B-9397-08002B2CF9AE}" pid="14" name="MediaServiceImageTags">
    <vt:lpwstr/>
  </property>
</Properties>
</file>